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BOM總表" sheetId="2" state="visible" r:id="rId4"/>
    <sheet name="硬體BOM" sheetId="3" state="visible" r:id="rId5"/>
    <sheet name="軟體BOM" sheetId="4" state="visible" r:id="rId6"/>
    <sheet name="第三方元件" sheetId="5" state="visible" r:id="rId7"/>
    <sheet name="檔案清單" sheetId="6" state="visible" r:id="rId8"/>
  </sheets>
  <definedNames>
    <definedName function="false" hidden="false" localSheetId="1" name="_xlnm.Print_Titles" vbProcedure="false">BOM總表!$4:$4</definedName>
    <definedName function="false" hidden="false" localSheetId="5" name="_xlnm.Print_Titles" vbProcedure="false">檔案清單!$4:$4</definedName>
    <definedName function="false" hidden="true" localSheetId="5" name="_xlnm._FilterDatabase" vbProcedure="false">檔案清單!$A$4:$I$1334</definedName>
    <definedName function="false" hidden="false" localSheetId="2" name="_xlnm.Print_Titles" vbProcedure="false">硬體BOM!$4:$4</definedName>
    <definedName function="false" hidden="false" localSheetId="4" name="_xlnm.Print_Titles" vbProcedure="false">第三方元件!$4:$4</definedName>
    <definedName function="false" hidden="true" localSheetId="4" name="_xlnm._FilterDatabase" vbProcedure="false">第三方元件!$A$4:$I$30</definedName>
    <definedName function="false" hidden="false" localSheetId="3" name="_xlnm.Print_Titles" vbProcedure="false">軟體BOM!$4:$4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<sst xmlns="http://schemas.openxmlformats.org/spreadsheetml/2006/main" count="10375" uniqueCount="3124">
  <si>
    <r>
      <rPr>
        <b val="true"/>
        <sz val="18"/>
        <color rgb="FF000000"/>
        <rFont val="Arial"/>
        <family val="0"/>
        <charset val="1"/>
      </rPr>
      <t xml:space="preserve">CIBAR </t>
    </r>
    <r>
      <rPr>
        <b val="true"/>
        <sz val="18"/>
        <color rgb="FF000000"/>
        <rFont val="Noto Sans CJK SC"/>
        <family val="2"/>
      </rPr>
      <t xml:space="preserve">物料清單（</t>
    </r>
    <r>
      <rPr>
        <b val="true"/>
        <sz val="18"/>
        <color rgb="FF000000"/>
        <rFont val="Arial"/>
        <family val="0"/>
        <charset val="1"/>
      </rPr>
      <t xml:space="preserve">Bill of Materials</t>
    </r>
    <r>
      <rPr>
        <b val="true"/>
        <sz val="18"/>
        <color rgb="FF000000"/>
        <rFont val="Noto Sans CJK SC"/>
        <family val="2"/>
      </rPr>
      <t xml:space="preserve">）</t>
    </r>
  </si>
  <si>
    <r>
      <rPr>
        <sz val="11"/>
        <color rgb="FF595959"/>
        <rFont val="Noto Sans CJK SC"/>
        <family val="2"/>
      </rPr>
      <t xml:space="preserve">刑事警察局 </t>
    </r>
    <r>
      <rPr>
        <sz val="11"/>
        <color rgb="FF595959"/>
        <rFont val="Arial"/>
        <family val="0"/>
        <charset val="1"/>
      </rPr>
      <t xml:space="preserve">AR </t>
    </r>
    <r>
      <rPr>
        <sz val="11"/>
        <color rgb="FF595959"/>
        <rFont val="Noto Sans CJK SC"/>
        <family val="2"/>
      </rPr>
      <t xml:space="preserve">反詐騙教育館 —「反詐</t>
    </r>
    <r>
      <rPr>
        <sz val="11"/>
        <color rgb="FF595959"/>
        <rFont val="Arial"/>
        <family val="0"/>
        <charset val="1"/>
      </rPr>
      <t xml:space="preserve">AR</t>
    </r>
    <r>
      <rPr>
        <sz val="11"/>
        <color rgb="FF595959"/>
        <rFont val="Noto Sans CJK SC"/>
        <family val="2"/>
      </rPr>
      <t xml:space="preserve">體驗」展示組（硬體＋軟體＋</t>
    </r>
    <r>
      <rPr>
        <sz val="11"/>
        <color rgb="FF595959"/>
        <rFont val="Arial"/>
        <family val="0"/>
        <charset val="1"/>
      </rPr>
      <t xml:space="preserve">repo </t>
    </r>
    <r>
      <rPr>
        <sz val="11"/>
        <color rgb="FF595959"/>
        <rFont val="Noto Sans CJK SC"/>
        <family val="2"/>
      </rPr>
      <t xml:space="preserve">檔案）</t>
    </r>
  </si>
  <si>
    <t xml:space="preserve">基本資料</t>
  </si>
  <si>
    <t xml:space="preserve">專案名稱</t>
  </si>
  <si>
    <r>
      <rPr>
        <sz val="10"/>
        <color rgb="FF000000"/>
        <rFont val="Arial"/>
        <family val="0"/>
        <charset val="1"/>
      </rPr>
      <t xml:space="preserve">CIBAR </t>
    </r>
    <r>
      <rPr>
        <sz val="10"/>
        <color rgb="FF000000"/>
        <rFont val="Noto Sans CJK SC"/>
        <family val="2"/>
      </rPr>
      <t xml:space="preserve">刑事警察局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反詐騙教育館</t>
    </r>
  </si>
  <si>
    <t xml:space="preserve">產品名稱</t>
  </si>
  <si>
    <r>
      <rPr>
        <sz val="10"/>
        <color rgb="FF000000"/>
        <rFont val="Noto Sans CJK SC"/>
        <family val="2"/>
      </rPr>
      <t xml:space="preserve">反詐</t>
    </r>
    <r>
      <rPr>
        <sz val="10"/>
        <color rgb="FF000000"/>
        <rFont val="Arial"/>
        <family val="0"/>
        <charset val="1"/>
      </rPr>
      <t xml:space="preserve">AR</t>
    </r>
    <r>
      <rPr>
        <sz val="10"/>
        <color rgb="FF000000"/>
        <rFont val="Noto Sans CJK SC"/>
        <family val="2"/>
      </rPr>
      <t xml:space="preserve">體驗（</t>
    </r>
    <r>
      <rPr>
        <sz val="10"/>
        <color rgb="FF000000"/>
        <rFont val="Arial"/>
        <family val="0"/>
        <charset val="1"/>
      </rPr>
      <t xml:space="preserve">Android App </t>
    </r>
    <r>
      <rPr>
        <sz val="10"/>
        <color rgb="FF000000"/>
        <rFont val="Noto Sans CJK SC"/>
        <family val="2"/>
      </rPr>
      <t xml:space="preserve">＋ 佐臻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眼鏡展示組）</t>
    </r>
  </si>
  <si>
    <t xml:space="preserve">Android applicationId</t>
  </si>
  <si>
    <t xml:space="preserve">com.bigxreality.jorjinverifier</t>
  </si>
  <si>
    <t xml:space="preserve">APK Shell Version</t>
  </si>
  <si>
    <r>
      <rPr>
        <sz val="10"/>
        <color rgb="FF000000"/>
        <rFont val="Arial"/>
        <family val="0"/>
        <charset val="1"/>
      </rPr>
      <t xml:space="preserve">1.2.0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versionCode 10200</t>
    </r>
    <r>
      <rPr>
        <sz val="10"/>
        <color rgb="FF000000"/>
        <rFont val="Noto Sans CJK SC"/>
        <family val="2"/>
      </rPr>
      <t xml:space="preserve">）</t>
    </r>
  </si>
  <si>
    <t xml:space="preserve">Web Bundle Version</t>
  </si>
  <si>
    <t xml:space="preserve">1.7.8</t>
  </si>
  <si>
    <r>
      <rPr>
        <b val="true"/>
        <sz val="10"/>
        <color rgb="FF000000"/>
        <rFont val="Noto Sans CJK SC"/>
        <family val="2"/>
      </rPr>
      <t xml:space="preserve">最新正式 </t>
    </r>
    <r>
      <rPr>
        <b val="true"/>
        <sz val="10"/>
        <color rgb="FF000000"/>
        <rFont val="Arial"/>
        <family val="0"/>
        <charset val="1"/>
      </rPr>
      <t xml:space="preserve">OTA Release ID</t>
    </r>
  </si>
  <si>
    <t xml:space="preserve">1.7.8-20260930.002</t>
  </si>
  <si>
    <t xml:space="preserve">Web Bundle SHA-256</t>
  </si>
  <si>
    <t xml:space="preserve">c65575b3cd44ac701634dcdf6db27536a693356339529166be9c1da626d55a27</t>
  </si>
  <si>
    <r>
      <rPr>
        <b val="true"/>
        <sz val="10"/>
        <color rgb="FF000000"/>
        <rFont val="Arial"/>
        <family val="0"/>
        <charset val="1"/>
      </rPr>
      <t xml:space="preserve">Web Bundle </t>
    </r>
    <r>
      <rPr>
        <b val="true"/>
        <sz val="10"/>
        <color rgb="FF000000"/>
        <rFont val="Noto Sans CJK SC"/>
        <family val="2"/>
      </rPr>
      <t xml:space="preserve">大小（</t>
    </r>
    <r>
      <rPr>
        <b val="true"/>
        <sz val="10"/>
        <color rgb="FF000000"/>
        <rFont val="Arial"/>
        <family val="0"/>
        <charset val="1"/>
      </rPr>
      <t xml:space="preserve">bytes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</si>
  <si>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Repository</t>
  </si>
  <si>
    <t xml:space="preserve">magician-eric/ScamAware-AR</t>
  </si>
  <si>
    <r>
      <rPr>
        <b val="true"/>
        <sz val="10"/>
        <color rgb="FF000000"/>
        <rFont val="Noto Sans CJK SC"/>
        <family val="2"/>
      </rPr>
      <t xml:space="preserve">快照基準 </t>
    </r>
    <r>
      <rPr>
        <b val="true"/>
        <sz val="10"/>
        <color rgb="FF000000"/>
        <rFont val="Arial"/>
        <family val="0"/>
        <charset val="1"/>
      </rPr>
      <t xml:space="preserve">commit</t>
    </r>
  </si>
  <si>
    <r>
      <rPr>
        <sz val="10"/>
        <color rgb="FF000000"/>
        <rFont val="Arial"/>
        <family val="0"/>
        <charset val="1"/>
      </rPr>
      <t xml:space="preserve">bd2ffc4cb9762d6d056e3a38bf3a1cb0479cfd72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</si>
  <si>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BOM </t>
    </r>
    <r>
      <rPr>
        <b val="true"/>
        <sz val="10"/>
        <color rgb="FF000000"/>
        <rFont val="Noto Sans CJK SC"/>
        <family val="2"/>
      </rPr>
      <t xml:space="preserve">製表日期</t>
    </r>
  </si>
  <si>
    <t xml:space="preserve">2026-09-30</t>
  </si>
  <si>
    <r>
      <rPr>
        <b val="true"/>
        <sz val="10"/>
        <color rgb="FF000000"/>
        <rFont val="Arial"/>
        <family val="0"/>
        <charset val="1"/>
      </rPr>
      <t xml:space="preserve">BOM </t>
    </r>
    <r>
      <rPr>
        <b val="true"/>
        <sz val="10"/>
        <color rgb="FF000000"/>
        <rFont val="Noto Sans CJK SC"/>
        <family val="2"/>
      </rPr>
      <t xml:space="preserve">計量基準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</si>
  <si>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套展示組 ＝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副眼鏡＋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片遮光片＋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個收納包＋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支手機＋軟體</t>
    </r>
  </si>
  <si>
    <t xml:space="preserve">採購套數（請填）</t>
  </si>
  <si>
    <r>
      <rPr>
        <i val="true"/>
        <sz val="9"/>
        <color rgb="FF595959"/>
        <rFont val="Noto Sans CJK SC"/>
        <family val="2"/>
      </rPr>
      <t xml:space="preserve">← 預設 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套；改成實際套數，各表總數量與金額會自動重算</t>
    </r>
  </si>
  <si>
    <t xml:space="preserve">統計（公式自動計算）</t>
  </si>
  <si>
    <t xml:space="preserve">硬體品項數</t>
  </si>
  <si>
    <r>
      <rPr>
        <b val="true"/>
        <sz val="10"/>
        <color rgb="FF000000"/>
        <rFont val="Noto Sans CJK SC"/>
        <family val="2"/>
      </rPr>
      <t xml:space="preserve">軟體／文件模組數（</t>
    </r>
    <r>
      <rPr>
        <b val="true"/>
        <sz val="10"/>
        <color rgb="FF000000"/>
        <rFont val="Arial"/>
        <family val="0"/>
        <charset val="1"/>
      </rPr>
      <t xml:space="preserve">Level 2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</si>
  <si>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repo </t>
    </r>
    <r>
      <rPr>
        <b val="true"/>
        <sz val="10"/>
        <color rgb="FF000000"/>
        <rFont val="Noto Sans CJK SC"/>
        <family val="2"/>
      </rPr>
      <t xml:space="preserve">檔案總數</t>
    </r>
  </si>
  <si>
    <r>
      <rPr>
        <b val="true"/>
        <sz val="10"/>
        <color rgb="FF000000"/>
        <rFont val="Arial"/>
        <family val="0"/>
        <charset val="1"/>
      </rPr>
      <t xml:space="preserve">repo </t>
    </r>
    <r>
      <rPr>
        <b val="true"/>
        <sz val="10"/>
        <color rgb="FF000000"/>
        <rFont val="Noto Sans CJK SC"/>
        <family val="2"/>
      </rPr>
      <t xml:space="preserve">檔案總大小（</t>
    </r>
    <r>
      <rPr>
        <b val="true"/>
        <sz val="10"/>
        <color rgb="FF000000"/>
        <rFont val="Arial"/>
        <family val="0"/>
        <charset val="1"/>
      </rPr>
      <t xml:space="preserve">MB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</si>
  <si>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第三方元件數（直接相依＋工具鏈）</t>
  </si>
  <si>
    <r>
      <rPr>
        <b val="true"/>
        <sz val="10"/>
        <color rgb="FF000000"/>
        <rFont val="Noto Sans CJK SC"/>
        <family val="2"/>
      </rPr>
      <t xml:space="preserve">硬體合計金額（</t>
    </r>
    <r>
      <rPr>
        <b val="true"/>
        <sz val="10"/>
        <color rgb="FF000000"/>
        <rFont val="Arial"/>
        <family val="0"/>
        <charset val="1"/>
      </rPr>
      <t xml:space="preserve">NT$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</si>
  <si>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BOM </t>
    </r>
    <r>
      <rPr>
        <b val="true"/>
        <sz val="10"/>
        <color rgb="FF000000"/>
        <rFont val="Noto Sans CJK SC"/>
        <family val="2"/>
      </rPr>
      <t xml:space="preserve">總計金額（</t>
    </r>
    <r>
      <rPr>
        <b val="true"/>
        <sz val="10"/>
        <color rgb="FF000000"/>
        <rFont val="Arial"/>
        <family val="0"/>
        <charset val="1"/>
      </rPr>
      <t xml:space="preserve">NT$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</si>
  <si>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填寫說明</t>
  </si>
  <si>
    <t xml:space="preserve">黃底藍字</t>
  </si>
  <si>
    <r>
      <rPr>
        <sz val="10"/>
        <color rgb="FF000000"/>
        <rFont val="Noto Sans CJK SC"/>
        <family val="2"/>
      </rPr>
      <t xml:space="preserve">請填寫的輸入欄：採購套數、各項單價（</t>
    </r>
    <r>
      <rPr>
        <sz val="10"/>
        <color rgb="FF000000"/>
        <rFont val="Arial"/>
        <family val="0"/>
        <charset val="1"/>
      </rPr>
      <t xml:space="preserve">NT$</t>
    </r>
    <r>
      <rPr>
        <sz val="10"/>
        <color rgb="FF000000"/>
        <rFont val="Noto Sans CJK SC"/>
        <family val="2"/>
      </rPr>
      <t xml:space="preserve">）、眼鏡與配件確切型號</t>
    </r>
  </si>
  <si>
    <t xml:space="preserve">綠字</t>
  </si>
  <si>
    <t xml:space="preserve">由其他工作表連結過來的數值（請到來源工作表修改）</t>
  </si>
  <si>
    <t xml:space="preserve">黑字</t>
  </si>
  <si>
    <t xml:space="preserve">公式計算結果，請勿直接覆寫</t>
  </si>
  <si>
    <t xml:space="preserve">範例</t>
  </si>
  <si>
    <r>
      <rPr>
        <sz val="10"/>
        <color rgb="FF000000"/>
        <rFont val="Noto Sans CJK SC"/>
        <family val="2"/>
      </rPr>
      <t xml:space="preserve">在「硬體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」的單價欄輸入 </t>
    </r>
    <r>
      <rPr>
        <sz val="10"/>
        <color rgb="FF000000"/>
        <rFont val="Arial"/>
        <family val="0"/>
        <charset val="1"/>
      </rPr>
      <t xml:space="preserve">12000</t>
    </r>
    <r>
      <rPr>
        <sz val="10"/>
        <color rgb="FF000000"/>
        <rFont val="Noto Sans CJK SC"/>
        <family val="2"/>
      </rPr>
      <t xml:space="preserve">（僅示範格式，非實際報價），小計＝總數量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單價，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總表與封面合計會同步更新</t>
    </r>
  </si>
  <si>
    <t xml:space="preserve">工作表索引</t>
  </si>
  <si>
    <r>
      <rPr>
        <b val="true"/>
        <sz val="10"/>
        <color rgb="FF000000"/>
        <rFont val="Arial"/>
        <family val="0"/>
        <charset val="1"/>
      </rPr>
      <t xml:space="preserve">BOM</t>
    </r>
    <r>
      <rPr>
        <b val="true"/>
        <sz val="10"/>
        <color rgb="FF000000"/>
        <rFont val="Noto Sans CJK SC"/>
        <family val="2"/>
      </rPr>
      <t xml:space="preserve">總表</t>
    </r>
  </si>
  <si>
    <r>
      <rPr>
        <sz val="10"/>
        <color rgb="FF000000"/>
        <rFont val="Noto Sans CJK SC"/>
        <family val="2"/>
      </rPr>
      <t xml:space="preserve">階層式總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Level 0 </t>
    </r>
    <r>
      <rPr>
        <sz val="10"/>
        <color rgb="FF000000"/>
        <rFont val="Noto Sans CJK SC"/>
        <family val="2"/>
      </rPr>
      <t xml:space="preserve">展示組 → </t>
    </r>
    <r>
      <rPr>
        <sz val="10"/>
        <color rgb="FF000000"/>
        <rFont val="Arial"/>
        <family val="0"/>
        <charset val="1"/>
      </rPr>
      <t xml:space="preserve">Level 1 </t>
    </r>
    <r>
      <rPr>
        <sz val="10"/>
        <color rgb="FF000000"/>
        <rFont val="Noto Sans CJK SC"/>
        <family val="2"/>
      </rPr>
      <t xml:space="preserve">硬體／軟體群組 → </t>
    </r>
    <r>
      <rPr>
        <sz val="10"/>
        <color rgb="FF000000"/>
        <rFont val="Arial"/>
        <family val="0"/>
        <charset val="1"/>
      </rPr>
      <t xml:space="preserve">Level 2 </t>
    </r>
    <r>
      <rPr>
        <sz val="10"/>
        <color rgb="FF000000"/>
        <rFont val="Noto Sans CJK SC"/>
        <family val="2"/>
      </rPr>
      <t xml:space="preserve">品項與軟體模組</t>
    </r>
  </si>
  <si>
    <r>
      <rPr>
        <b val="true"/>
        <sz val="10"/>
        <color rgb="FF000000"/>
        <rFont val="Noto Sans CJK SC"/>
        <family val="2"/>
      </rPr>
      <t xml:space="preserve">硬體</t>
    </r>
    <r>
      <rPr>
        <b val="true"/>
        <sz val="10"/>
        <color rgb="FF000000"/>
        <rFont val="Arial"/>
        <family val="0"/>
        <charset val="1"/>
      </rPr>
      <t xml:space="preserve">BOM</t>
    </r>
  </si>
  <si>
    <r>
      <rPr>
        <sz val="10"/>
        <color rgb="FF000000"/>
        <rFont val="Noto Sans CJK SC"/>
        <family val="2"/>
      </rPr>
      <t xml:space="preserve">四項硬體設備（佐臻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眼鏡、遮光片、收納包、</t>
    </r>
    <r>
      <rPr>
        <sz val="10"/>
        <color rgb="FF000000"/>
        <rFont val="Arial"/>
        <family val="0"/>
        <charset val="1"/>
      </rPr>
      <t xml:space="preserve">HTC </t>
    </r>
    <r>
      <rPr>
        <sz val="10"/>
        <color rgb="FF000000"/>
        <rFont val="Noto Sans CJK SC"/>
        <family val="2"/>
      </rPr>
      <t xml:space="preserve">手機）之規格、數量與金額</t>
    </r>
  </si>
  <si>
    <r>
      <rPr>
        <b val="true"/>
        <sz val="10"/>
        <color rgb="FF000000"/>
        <rFont val="Noto Sans CJK SC"/>
        <family val="2"/>
      </rPr>
      <t xml:space="preserve">軟體</t>
    </r>
    <r>
      <rPr>
        <b val="true"/>
        <sz val="10"/>
        <color rgb="FF000000"/>
        <rFont val="Arial"/>
        <family val="0"/>
        <charset val="1"/>
      </rPr>
      <t xml:space="preserve">BOM</t>
    </r>
  </si>
  <si>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內容依模組分類的軟體料號，檔案數與大小由「檔案清單」公式彙總</t>
    </r>
  </si>
  <si>
    <t xml:space="preserve">第三方元件</t>
  </si>
  <si>
    <r>
      <rPr>
        <sz val="10"/>
        <color rgb="FF000000"/>
        <rFont val="Noto Sans CJK SC"/>
        <family val="2"/>
      </rPr>
      <t xml:space="preserve">軟體使用的第三方套件、</t>
    </r>
    <r>
      <rPr>
        <sz val="10"/>
        <color rgb="FF000000"/>
        <rFont val="Arial"/>
        <family val="0"/>
        <charset val="1"/>
      </rPr>
      <t xml:space="preserve">SDK </t>
    </r>
    <r>
      <rPr>
        <sz val="10"/>
        <color rgb="FF000000"/>
        <rFont val="Noto Sans CJK SC"/>
        <family val="2"/>
      </rPr>
      <t xml:space="preserve">與建置工具（版本、授權、是否出貨）</t>
    </r>
  </si>
  <si>
    <t xml:space="preserve">檔案清單</t>
  </si>
  <si>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1330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git </t>
    </r>
    <r>
      <rPr>
        <sz val="10"/>
        <color rgb="FF000000"/>
        <rFont val="Noto Sans CJK SC"/>
        <family val="2"/>
      </rPr>
      <t xml:space="preserve">追蹤檔案：路徑、所屬料號、類型、大小、</t>
    </r>
    <r>
      <rPr>
        <sz val="10"/>
        <color rgb="FF000000"/>
        <rFont val="Arial"/>
        <family val="0"/>
        <charset val="1"/>
      </rPr>
      <t xml:space="preserve">SHA-256</t>
    </r>
    <r>
      <rPr>
        <sz val="10"/>
        <color rgb="FF000000"/>
        <rFont val="Noto Sans CJK SC"/>
        <family val="2"/>
      </rPr>
      <t xml:space="preserve">、交付形式</t>
    </r>
  </si>
  <si>
    <t xml:space="preserve">資料來源</t>
  </si>
  <si>
    <t xml:space="preserve">版本號</t>
  </si>
  <si>
    <r>
      <rPr>
        <sz val="10"/>
        <color rgb="FF000000"/>
        <rFont val="Arial"/>
        <family val="0"/>
        <charset val="1"/>
      </rPr>
      <t xml:space="preserve">release/versions.json</t>
    </r>
    <r>
      <rPr>
        <sz val="10"/>
        <color rgb="FF000000"/>
        <rFont val="Noto Sans CJK SC"/>
        <family val="2"/>
      </rPr>
      <t xml:space="preserve">（唯一版本來源）；</t>
    </r>
    <r>
      <rPr>
        <sz val="10"/>
        <color rgb="FF000000"/>
        <rFont val="Arial"/>
        <family val="0"/>
        <charset val="1"/>
      </rPr>
      <t xml:space="preserve">release/ota/latest.json</t>
    </r>
  </si>
  <si>
    <t xml:space="preserve">硬體需求</t>
  </si>
  <si>
    <r>
      <rPr>
        <sz val="10"/>
        <color rgb="FF000000"/>
        <rFont val="Arial"/>
        <family val="0"/>
        <charset val="1"/>
      </rPr>
      <t xml:space="preserve">android/README.md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android/app/build.gradle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res/xml/device_filter.xml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docs/CIBAR-Technical-Specification.md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docs/CIBAR-</t>
    </r>
    <r>
      <rPr>
        <sz val="10"/>
        <color rgb="FF000000"/>
        <rFont val="Noto Sans CJK SC"/>
        <family val="2"/>
      </rPr>
      <t xml:space="preserve">教育訓練操作手冊</t>
    </r>
    <r>
      <rPr>
        <sz val="10"/>
        <color rgb="FF000000"/>
        <rFont val="Arial"/>
        <family val="0"/>
        <charset val="1"/>
      </rPr>
      <t xml:space="preserve">.md</t>
    </r>
  </si>
  <si>
    <t xml:space="preserve">硬體品項</t>
  </si>
  <si>
    <r>
      <rPr>
        <sz val="10"/>
        <color rgb="FF000000"/>
        <rFont val="Noto Sans CJK SC"/>
        <family val="2"/>
      </rPr>
      <t xml:space="preserve">佐臻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眼鏡、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眼鏡遮光片、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眼鏡收納包、</t>
    </r>
    <r>
      <rPr>
        <sz val="10"/>
        <color rgb="FF000000"/>
        <rFont val="Arial"/>
        <family val="0"/>
        <charset val="1"/>
      </rPr>
      <t xml:space="preserve">HTC </t>
    </r>
    <r>
      <rPr>
        <sz val="10"/>
        <color rgb="FF000000"/>
        <rFont val="Noto Sans CJK SC"/>
        <family val="2"/>
      </rPr>
      <t xml:space="preserve">手機 —— 依使用者指定</t>
    </r>
  </si>
  <si>
    <r>
      <rPr>
        <sz val="10"/>
        <color rgb="FF000000"/>
        <rFont val="Arial"/>
        <family val="0"/>
        <charset val="1"/>
      </rPr>
      <t xml:space="preserve">git ls-files @ bd2ffc4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</t>
    </r>
    <r>
      <rPr>
        <sz val="10"/>
        <color rgb="FF000000"/>
        <rFont val="Noto Sans CJK SC"/>
        <family val="2"/>
      </rPr>
      <t xml:space="preserve">由檔案內容計算</t>
    </r>
  </si>
  <si>
    <r>
      <rPr>
        <b val="true"/>
        <sz val="14"/>
        <color rgb="FF000000"/>
        <rFont val="Arial"/>
        <family val="0"/>
        <charset val="1"/>
      </rPr>
      <t xml:space="preserve">BOM </t>
    </r>
    <r>
      <rPr>
        <b val="true"/>
        <sz val="14"/>
        <color rgb="FF000000"/>
        <rFont val="Noto Sans CJK SC"/>
        <family val="2"/>
      </rPr>
      <t xml:space="preserve">總表（階層式）</t>
    </r>
  </si>
  <si>
    <r>
      <rPr>
        <i val="true"/>
        <sz val="9"/>
        <color rgb="FF595959"/>
        <rFont val="Noto Sans CJK SC"/>
        <family val="2"/>
      </rPr>
      <t xml:space="preserve">硬體單價於「硬體</t>
    </r>
    <r>
      <rPr>
        <i val="true"/>
        <sz val="9"/>
        <color rgb="FF595959"/>
        <rFont val="Arial"/>
        <family val="0"/>
        <charset val="1"/>
      </rPr>
      <t xml:space="preserve">BOM</t>
    </r>
    <r>
      <rPr>
        <i val="true"/>
        <sz val="9"/>
        <color rgb="FF595959"/>
        <rFont val="Noto Sans CJK SC"/>
        <family val="2"/>
      </rPr>
      <t xml:space="preserve">」填寫後連結至此（綠字）；軟體 </t>
    </r>
    <r>
      <rPr>
        <i val="true"/>
        <sz val="9"/>
        <color rgb="FF595959"/>
        <rFont val="Arial"/>
        <family val="0"/>
        <charset val="1"/>
      </rPr>
      <t xml:space="preserve">Level 1 </t>
    </r>
    <r>
      <rPr>
        <i val="true"/>
        <sz val="9"/>
        <color rgb="FF595959"/>
        <rFont val="Noto Sans CJK SC"/>
        <family val="2"/>
      </rPr>
      <t xml:space="preserve">單價為選填（黃底）。檔案數／大小連結自「軟體</t>
    </r>
    <r>
      <rPr>
        <i val="true"/>
        <sz val="9"/>
        <color rgb="FF595959"/>
        <rFont val="Arial"/>
        <family val="0"/>
        <charset val="1"/>
      </rPr>
      <t xml:space="preserve">BOM</t>
    </r>
    <r>
      <rPr>
        <i val="true"/>
        <sz val="9"/>
        <color rgb="FF595959"/>
        <rFont val="Noto Sans CJK SC"/>
        <family val="2"/>
      </rPr>
      <t xml:space="preserve">」。</t>
    </r>
  </si>
  <si>
    <t xml:space="preserve">項次</t>
  </si>
  <si>
    <t xml:space="preserve">階層</t>
  </si>
  <si>
    <t xml:space="preserve">料號</t>
  </si>
  <si>
    <t xml:space="preserve">品名</t>
  </si>
  <si>
    <t xml:space="preserve">規格／版本</t>
  </si>
  <si>
    <t xml:space="preserve">類別</t>
  </si>
  <si>
    <t xml:space="preserve">單套數量</t>
  </si>
  <si>
    <t xml:space="preserve">單位</t>
  </si>
  <si>
    <t xml:space="preserve">總數量</t>
  </si>
  <si>
    <r>
      <rPr>
        <b val="true"/>
        <sz val="10"/>
        <color rgb="FFFFFFFF"/>
        <rFont val="Noto Sans CJK SC"/>
        <family val="2"/>
      </rPr>
      <t xml:space="preserve">單價（</t>
    </r>
    <r>
      <rPr>
        <b val="true"/>
        <sz val="10"/>
        <color rgb="FFFFFFFF"/>
        <rFont val="Arial"/>
        <family val="0"/>
        <charset val="1"/>
      </rPr>
      <t xml:space="preserve">NT$</t>
    </r>
    <r>
      <rPr>
        <b val="true"/>
        <sz val="10"/>
        <color rgb="FFFFFFFF"/>
        <rFont val="Noto Sans CJK SC"/>
        <family val="2"/>
      </rPr>
      <t xml:space="preserve">）</t>
    </r>
  </si>
  <si>
    <r>
      <rPr>
        <b val="true"/>
        <sz val="10"/>
        <color rgb="FFFFFFFF"/>
        <rFont val="Noto Sans CJK SC"/>
        <family val="2"/>
      </rPr>
      <t xml:space="preserve">小計（</t>
    </r>
    <r>
      <rPr>
        <b val="true"/>
        <sz val="10"/>
        <color rgb="FFFFFFFF"/>
        <rFont val="Arial"/>
        <family val="0"/>
        <charset val="1"/>
      </rPr>
      <t xml:space="preserve">NT$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</si>
  <si>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檔案數</t>
  </si>
  <si>
    <r>
      <rPr>
        <b val="true"/>
        <sz val="10"/>
        <color rgb="FFFFFFFF"/>
        <rFont val="Noto Sans CJK SC"/>
        <family val="2"/>
      </rPr>
      <t xml:space="preserve">大小（</t>
    </r>
    <r>
      <rPr>
        <b val="true"/>
        <sz val="10"/>
        <color rgb="FFFFFFFF"/>
        <rFont val="Arial"/>
        <family val="0"/>
        <charset val="1"/>
      </rPr>
      <t xml:space="preserve">MB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</si>
  <si>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交付形式</t>
  </si>
  <si>
    <t xml:space="preserve">來源／供應商</t>
  </si>
  <si>
    <t xml:space="preserve">1</t>
  </si>
  <si>
    <t xml:space="preserve">CIBAR-SET</t>
  </si>
  <si>
    <r>
      <rPr>
        <b val="true"/>
        <sz val="10"/>
        <color rgb="FF000000"/>
        <rFont val="Arial"/>
        <family val="0"/>
        <charset val="1"/>
      </rPr>
      <t xml:space="preserve">CIBAR AR </t>
    </r>
    <r>
      <rPr>
        <b val="true"/>
        <sz val="10"/>
        <color rgb="FF000000"/>
        <rFont val="Noto Sans CJK SC"/>
        <family val="2"/>
      </rPr>
      <t xml:space="preserve">反詐騙體驗展示組</t>
    </r>
  </si>
  <si>
    <r>
      <rPr>
        <b val="true"/>
        <sz val="10"/>
        <color rgb="FF000000"/>
        <rFont val="Arial"/>
        <family val="0"/>
        <charset val="1"/>
      </rPr>
      <t xml:space="preserve">Shell 1.2.0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Web Bundle 1.7.8</t>
    </r>
  </si>
  <si>
    <t xml:space="preserve">成品</t>
  </si>
  <si>
    <t xml:space="preserve">套</t>
  </si>
  <si>
    <t xml:space="preserve">整套交付</t>
  </si>
  <si>
    <t xml:space="preserve">—</t>
  </si>
  <si>
    <t xml:space="preserve">1.1</t>
  </si>
  <si>
    <t xml:space="preserve">HW-000</t>
  </si>
  <si>
    <t xml:space="preserve">　硬體設備</t>
  </si>
  <si>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項</t>
    </r>
  </si>
  <si>
    <t xml:space="preserve">硬體</t>
  </si>
  <si>
    <t xml:space="preserve">實體設備</t>
  </si>
  <si>
    <t xml:space="preserve">1.1.1</t>
  </si>
  <si>
    <t xml:space="preserve">HW-001</t>
  </si>
  <si>
    <r>
      <rPr>
        <sz val="10"/>
        <color rgb="FF000000"/>
        <rFont val="Noto Sans CJK SC"/>
        <family val="2"/>
      </rPr>
      <t xml:space="preserve">　　佐臻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</t>
    </r>
  </si>
  <si>
    <r>
      <rPr>
        <sz val="10"/>
        <color rgb="FF000000"/>
        <rFont val="Arial"/>
        <family val="0"/>
        <charset val="1"/>
      </rPr>
      <t xml:space="preserve">J-Reality </t>
    </r>
    <r>
      <rPr>
        <sz val="10"/>
        <color rgb="FF000000"/>
        <rFont val="Noto Sans CJK SC"/>
        <family val="2"/>
      </rPr>
      <t xml:space="preserve">系列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眼鏡（須含 </t>
    </r>
    <r>
      <rPr>
        <sz val="10"/>
        <color rgb="FF000000"/>
        <rFont val="Arial"/>
        <family val="0"/>
        <charset val="1"/>
      </rPr>
      <t xml:space="preserve">RGB </t>
    </r>
    <r>
      <rPr>
        <sz val="10"/>
        <color rgb="FF000000"/>
        <rFont val="Noto Sans CJK SC"/>
        <family val="2"/>
      </rPr>
      <t xml:space="preserve">相機＋</t>
    </r>
    <r>
      <rPr>
        <sz val="10"/>
        <color rgb="FF000000"/>
        <rFont val="Arial"/>
        <family val="0"/>
        <charset val="1"/>
      </rPr>
      <t xml:space="preserve">ToF </t>
    </r>
    <r>
      <rPr>
        <sz val="10"/>
        <color rgb="FF000000"/>
        <rFont val="Noto Sans CJK SC"/>
        <family val="2"/>
      </rPr>
      <t xml:space="preserve">手勢模組；確切型號請依採購單填寫）</t>
    </r>
  </si>
  <si>
    <t xml:space="preserve">副</t>
  </si>
  <si>
    <r>
      <rPr>
        <sz val="10"/>
        <color rgb="FF000000"/>
        <rFont val="Noto Sans CJK SC"/>
        <family val="2"/>
      </rPr>
      <t xml:space="preserve">佐臻股份有限公司（</t>
    </r>
    <r>
      <rPr>
        <sz val="10"/>
        <color rgb="FF000000"/>
        <rFont val="Arial"/>
        <family val="0"/>
        <charset val="1"/>
      </rPr>
      <t xml:space="preserve">Jorjin Technologies</t>
    </r>
    <r>
      <rPr>
        <sz val="10"/>
        <color rgb="FF000000"/>
        <rFont val="Noto Sans CJK SC"/>
        <family val="2"/>
      </rPr>
      <t xml:space="preserve">）</t>
    </r>
  </si>
  <si>
    <t xml:space="preserve">1.1.2</t>
  </si>
  <si>
    <t xml:space="preserve">HW-002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</si>
  <si>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眼鏡遮光片</t>
    </r>
  </si>
  <si>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HW-001 </t>
    </r>
    <r>
      <rPr>
        <sz val="10"/>
        <color rgb="FF000000"/>
        <rFont val="Noto Sans CJK SC"/>
        <family val="2"/>
      </rPr>
      <t xml:space="preserve">眼鏡型號之遮光片（確切型號請填寫）</t>
    </r>
  </si>
  <si>
    <t xml:space="preserve">片</t>
  </si>
  <si>
    <t xml:space="preserve">佐臻（原廠配件）</t>
  </si>
  <si>
    <t xml:space="preserve">1.1.3</t>
  </si>
  <si>
    <t xml:space="preserve">HW-003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</si>
  <si>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眼鏡收納包</t>
    </r>
  </si>
  <si>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HW-001 </t>
    </r>
    <r>
      <rPr>
        <sz val="10"/>
        <color rgb="FF000000"/>
        <rFont val="Noto Sans CJK SC"/>
        <family val="2"/>
      </rPr>
      <t xml:space="preserve">眼鏡型號之收納包（確切型號請填寫）</t>
    </r>
  </si>
  <si>
    <t xml:space="preserve">個</t>
  </si>
  <si>
    <t xml:space="preserve">1.1.4</t>
  </si>
  <si>
    <t xml:space="preserve">HW-004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</si>
  <si>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HTC </t>
    </r>
    <r>
      <rPr>
        <sz val="10"/>
        <color rgb="FF000000"/>
        <rFont val="Noto Sans CJK SC"/>
        <family val="2"/>
      </rPr>
      <t xml:space="preserve">手機</t>
    </r>
  </si>
  <si>
    <t xml:space="preserve">HTC U23</t>
  </si>
  <si>
    <t xml:space="preserve">支</t>
  </si>
  <si>
    <r>
      <rPr>
        <sz val="10"/>
        <color rgb="FF000000"/>
        <rFont val="Arial"/>
        <family val="0"/>
        <charset val="1"/>
      </rPr>
      <t xml:space="preserve">HTC</t>
    </r>
    <r>
      <rPr>
        <sz val="10"/>
        <color rgb="FF000000"/>
        <rFont val="Noto Sans CJK SC"/>
        <family val="2"/>
      </rPr>
      <t xml:space="preserve">（宏達國際電子）</t>
    </r>
  </si>
  <si>
    <t xml:space="preserve">1.2</t>
  </si>
  <si>
    <t xml:space="preserve">SW-100</t>
  </si>
  <si>
    <r>
      <rPr>
        <b val="true"/>
        <sz val="10"/>
        <color rgb="FF000000"/>
        <rFont val="Noto Sans CJK SC"/>
        <family val="2"/>
      </rPr>
      <t xml:space="preserve">　</t>
    </r>
    <r>
      <rPr>
        <b val="true"/>
        <sz val="10"/>
        <color rgb="FF000000"/>
        <rFont val="Arial"/>
        <family val="0"/>
        <charset val="1"/>
      </rPr>
      <t xml:space="preserve">Android App</t>
    </r>
    <r>
      <rPr>
        <b val="true"/>
        <sz val="10"/>
        <color rgb="FF000000"/>
        <rFont val="Noto Sans CJK SC"/>
        <family val="2"/>
      </rPr>
      <t xml:space="preserve">「反詐</t>
    </r>
    <r>
      <rPr>
        <b val="true"/>
        <sz val="10"/>
        <color rgb="FF000000"/>
        <rFont val="Arial"/>
        <family val="0"/>
        <charset val="1"/>
      </rPr>
      <t xml:space="preserve">AR</t>
    </r>
    <r>
      <rPr>
        <b val="true"/>
        <sz val="10"/>
        <color rgb="FF000000"/>
        <rFont val="Noto Sans CJK SC"/>
        <family val="2"/>
      </rPr>
      <t xml:space="preserve">體驗」</t>
    </r>
    <r>
      <rPr>
        <b val="true"/>
        <sz val="10"/>
        <color rgb="FF000000"/>
        <rFont val="Arial"/>
        <family val="0"/>
        <charset val="1"/>
      </rPr>
      <t xml:space="preserve">APK Shell</t>
    </r>
  </si>
  <si>
    <r>
      <rPr>
        <b val="true"/>
        <sz val="10"/>
        <color rgb="FF000000"/>
        <rFont val="Arial"/>
        <family val="0"/>
        <charset val="1"/>
      </rPr>
      <t xml:space="preserve">v1.2.0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versionCode 10200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</si>
  <si>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軟體</t>
  </si>
  <si>
    <r>
      <rPr>
        <b val="true"/>
        <sz val="10"/>
        <color rgb="FF000000"/>
        <rFont val="Arial"/>
        <family val="0"/>
        <charset val="1"/>
      </rPr>
      <t xml:space="preserve">APK </t>
    </r>
    <r>
      <rPr>
        <b val="true"/>
        <sz val="10"/>
        <color rgb="FF000000"/>
        <rFont val="Noto Sans CJK SC"/>
        <family val="2"/>
      </rPr>
      <t xml:space="preserve">內建</t>
    </r>
  </si>
  <si>
    <r>
      <rPr>
        <b val="true"/>
        <sz val="10"/>
        <color rgb="FF000000"/>
        <rFont val="Noto Sans CJK SC"/>
        <family val="2"/>
      </rPr>
      <t xml:space="preserve">自行開發（</t>
    </r>
    <r>
      <rPr>
        <b val="true"/>
        <sz val="10"/>
        <color rgb="FF000000"/>
        <rFont val="Arial"/>
        <family val="0"/>
        <charset val="1"/>
      </rPr>
      <t xml:space="preserve">repo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</si>
  <si>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1.2.1</t>
  </si>
  <si>
    <t xml:space="preserve">SW-101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</si>
  <si>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主程式</t>
    </r>
  </si>
  <si>
    <t xml:space="preserve">v1.2.0</t>
  </si>
  <si>
    <t xml:space="preserve">份</t>
  </si>
  <si>
    <r>
      <rPr>
        <sz val="10"/>
        <color rgb="FF000000"/>
        <rFont val="Arial"/>
        <family val="0"/>
        <charset val="1"/>
      </rPr>
      <t xml:space="preserve">APK </t>
    </r>
    <r>
      <rPr>
        <sz val="10"/>
        <color rgb="FF000000"/>
        <rFont val="Noto Sans CJK SC"/>
        <family val="2"/>
      </rPr>
      <t xml:space="preserve">內建</t>
    </r>
  </si>
  <si>
    <r>
      <rPr>
        <sz val="10"/>
        <color rgb="FF000000"/>
        <rFont val="Noto Sans CJK SC"/>
        <family val="2"/>
      </rPr>
      <t xml:space="preserve">自行開發（</t>
    </r>
    <r>
      <rPr>
        <sz val="10"/>
        <color rgb="FF000000"/>
        <rFont val="Arial"/>
        <family val="0"/>
        <charset val="1"/>
      </rPr>
      <t xml:space="preserve">repo</t>
    </r>
    <r>
      <rPr>
        <sz val="10"/>
        <color rgb="FF000000"/>
        <rFont val="Noto Sans CJK SC"/>
        <family val="2"/>
      </rPr>
      <t xml:space="preserve">）</t>
    </r>
  </si>
  <si>
    <t xml:space="preserve">1.2.2</t>
  </si>
  <si>
    <t xml:space="preserve">SW-102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</si>
  <si>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Android OTA </t>
    </r>
    <r>
      <rPr>
        <sz val="10"/>
        <color rgb="FF000000"/>
        <rFont val="Noto Sans CJK SC"/>
        <family val="2"/>
      </rPr>
      <t xml:space="preserve">更新模組</t>
    </r>
  </si>
  <si>
    <t xml:space="preserve">1.2.3</t>
  </si>
  <si>
    <t xml:space="preserve">SW-103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</si>
  <si>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資源與 </t>
    </r>
    <r>
      <rPr>
        <sz val="10"/>
        <color rgb="FF000000"/>
        <rFont val="Arial"/>
        <family val="0"/>
        <charset val="1"/>
      </rPr>
      <t xml:space="preserve">Manifest</t>
    </r>
  </si>
  <si>
    <t xml:space="preserve">1.2.4</t>
  </si>
  <si>
    <t xml:space="preserve">SW-104</t>
  </si>
  <si>
    <r>
      <rPr>
        <sz val="10"/>
        <color rgb="FF000000"/>
        <rFont val="Noto Sans CJK SC"/>
        <family val="2"/>
      </rPr>
      <t xml:space="preserve">　　佐臻 </t>
    </r>
    <r>
      <rPr>
        <sz val="10"/>
        <color rgb="FF000000"/>
        <rFont val="Arial"/>
        <family val="0"/>
        <charset val="1"/>
      </rPr>
      <t xml:space="preserve">JJSDK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jjsdk.aar</t>
    </r>
    <r>
      <rPr>
        <sz val="10"/>
        <color rgb="FF000000"/>
        <rFont val="Noto Sans CJK SC"/>
        <family val="2"/>
      </rPr>
      <t xml:space="preserve">）</t>
    </r>
  </si>
  <si>
    <t xml:space="preserve">v1.3.3</t>
  </si>
  <si>
    <t xml:space="preserve">第三方軟體</t>
  </si>
  <si>
    <r>
      <rPr>
        <sz val="10"/>
        <color rgb="FF000000"/>
        <rFont val="Noto Sans CJK SC"/>
        <family val="2"/>
      </rPr>
      <t xml:space="preserve">佐臻（原廠 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）</t>
    </r>
  </si>
  <si>
    <t xml:space="preserve">1.2.5</t>
  </si>
  <si>
    <t xml:space="preserve">SW-105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</si>
  <si>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建置設定與簽章</t>
    </r>
  </si>
  <si>
    <r>
      <rPr>
        <sz val="10"/>
        <color rgb="FF000000"/>
        <rFont val="Arial"/>
        <family val="0"/>
        <charset val="1"/>
      </rPr>
      <t xml:space="preserve">AGP 8.7.3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Gradle 8.9</t>
    </r>
  </si>
  <si>
    <t xml:space="preserve">建置用（不出貨）</t>
  </si>
  <si>
    <t xml:space="preserve">1.2.6</t>
  </si>
  <si>
    <t xml:space="preserve">SW-106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</si>
  <si>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單元測試與測試工具</t>
    </r>
  </si>
  <si>
    <t xml:space="preserve">開發／測試用（不出貨）</t>
  </si>
  <si>
    <t xml:space="preserve">1.2.7</t>
  </si>
  <si>
    <t xml:space="preserve">SW-107</t>
  </si>
  <si>
    <r>
      <rPr>
        <sz val="10"/>
        <color rgb="FF000000"/>
        <rFont val="Noto Sans CJK SC"/>
        <family val="2"/>
      </rPr>
      <t xml:space="preserve">　　佐臻原廠 </t>
    </r>
    <r>
      <rPr>
        <sz val="10"/>
        <color rgb="FF000000"/>
        <rFont val="Arial"/>
        <family val="0"/>
        <charset val="1"/>
      </rPr>
      <t xml:space="preserve">J-Reality-Gesture APK</t>
    </r>
    <r>
      <rPr>
        <sz val="10"/>
        <color rgb="FF000000"/>
        <rFont val="Noto Sans CJK SC"/>
        <family val="2"/>
      </rPr>
      <t xml:space="preserve">（參考用）</t>
    </r>
  </si>
  <si>
    <t xml:space="preserve">v0.9.5</t>
  </si>
  <si>
    <t xml:space="preserve">1.3</t>
  </si>
  <si>
    <t xml:space="preserve">SW-200</t>
  </si>
  <si>
    <r>
      <rPr>
        <b val="true"/>
        <sz val="10"/>
        <color rgb="FF000000"/>
        <rFont val="Noto Sans CJK SC"/>
        <family val="2"/>
      </rPr>
      <t xml:space="preserve">　</t>
    </r>
    <r>
      <rPr>
        <b val="true"/>
        <sz val="10"/>
        <color rgb="FF000000"/>
        <rFont val="Arial"/>
        <family val="0"/>
        <charset val="1"/>
      </rPr>
      <t xml:space="preserve">CIBAR Web Bundle</t>
    </r>
    <r>
      <rPr>
        <b val="true"/>
        <sz val="10"/>
        <color rgb="FF000000"/>
        <rFont val="Noto Sans CJK SC"/>
        <family val="2"/>
      </rPr>
      <t xml:space="preserve">（體驗內容）</t>
    </r>
  </si>
  <si>
    <r>
      <rPr>
        <b val="true"/>
        <sz val="10"/>
        <color rgb="FF000000"/>
        <rFont val="Arial"/>
        <family val="0"/>
        <charset val="1"/>
      </rPr>
      <t xml:space="preserve">v1.7.8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Release 1.7.8-20260930.002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</si>
  <si>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Web Bundle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APK </t>
    </r>
    <r>
      <rPr>
        <b val="true"/>
        <sz val="10"/>
        <color rgb="FF000000"/>
        <rFont val="Noto Sans CJK SC"/>
        <family val="2"/>
      </rPr>
      <t xml:space="preserve">內建＋</t>
    </r>
    <r>
      <rPr>
        <b val="true"/>
        <sz val="10"/>
        <color rgb="FF000000"/>
        <rFont val="Arial"/>
        <family val="0"/>
        <charset val="1"/>
      </rPr>
      <t xml:space="preserve">OTA </t>
    </r>
    <r>
      <rPr>
        <b val="true"/>
        <sz val="10"/>
        <color rgb="FF000000"/>
        <rFont val="Noto Sans CJK SC"/>
        <family val="2"/>
      </rPr>
      <t xml:space="preserve">更新）</t>
    </r>
  </si>
  <si>
    <t xml:space="preserve">1.3.1</t>
  </si>
  <si>
    <t xml:space="preserve">SW-201</t>
  </si>
  <si>
    <r>
      <rPr>
        <sz val="10"/>
        <color rgb="FF000000"/>
        <rFont val="Noto Sans CJK SC"/>
        <family val="2"/>
      </rPr>
      <t xml:space="preserve">　　平台核心（進入點／路由／</t>
    </r>
    <r>
      <rPr>
        <sz val="10"/>
        <color rgb="FF000000"/>
        <rFont val="Arial"/>
        <family val="0"/>
        <charset val="1"/>
      </rPr>
      <t xml:space="preserve">Shell</t>
    </r>
    <r>
      <rPr>
        <sz val="10"/>
        <color rgb="FF000000"/>
        <rFont val="Noto Sans CJK SC"/>
        <family val="2"/>
      </rPr>
      <t xml:space="preserve">／共用函式庫）</t>
    </r>
  </si>
  <si>
    <t xml:space="preserve">v1.7.8</t>
  </si>
  <si>
    <r>
      <rPr>
        <sz val="10"/>
        <color rgb="FF000000"/>
        <rFont val="Arial"/>
        <family val="0"/>
        <charset val="1"/>
      </rPr>
      <t xml:space="preserve">Web Bundle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APK </t>
    </r>
    <r>
      <rPr>
        <sz val="10"/>
        <color rgb="FF000000"/>
        <rFont val="Noto Sans CJK SC"/>
        <family val="2"/>
      </rPr>
      <t xml:space="preserve">內建＋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更新）</t>
    </r>
  </si>
  <si>
    <t xml:space="preserve">1.3.2</t>
  </si>
  <si>
    <t xml:space="preserve">SW-202</t>
  </si>
  <si>
    <t xml:space="preserve">　　入口流程與工作人員管理模式</t>
  </si>
  <si>
    <t xml:space="preserve">1.3.3</t>
  </si>
  <si>
    <t xml:space="preserve">SW-203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</si>
  <si>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影像辨識與相機來源</t>
    </r>
  </si>
  <si>
    <t xml:space="preserve">1.3.4</t>
  </si>
  <si>
    <t xml:space="preserve">SW-204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</si>
  <si>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手勢互動</t>
    </r>
  </si>
  <si>
    <t xml:space="preserve">1.3.5</t>
  </si>
  <si>
    <t xml:space="preserve">SW-205</t>
  </si>
  <si>
    <t xml:space="preserve">　　共用體驗元件</t>
  </si>
  <si>
    <t xml:space="preserve">1.3.6</t>
  </si>
  <si>
    <t xml:space="preserve">SW-211</t>
  </si>
  <si>
    <r>
      <rPr>
        <sz val="10"/>
        <color rgb="FF000000"/>
        <rFont val="Noto Sans CJK SC"/>
        <family val="2"/>
      </rPr>
      <t xml:space="preserve">　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GuGo Invest </t>
    </r>
    <r>
      <rPr>
        <sz val="10"/>
        <color rgb="FF000000"/>
        <rFont val="Noto Sans CJK SC"/>
        <family val="2"/>
      </rPr>
      <t xml:space="preserve">股購投資</t>
    </r>
  </si>
  <si>
    <t xml:space="preserve">1.3.7</t>
  </si>
  <si>
    <t xml:space="preserve">SW-212</t>
  </si>
  <si>
    <r>
      <rPr>
        <sz val="10"/>
        <color rgb="FF000000"/>
        <rFont val="Noto Sans CJK SC"/>
        <family val="2"/>
      </rPr>
      <t xml:space="preserve">　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MeetU </t>
    </r>
    <r>
      <rPr>
        <sz val="10"/>
        <color rgb="FF000000"/>
        <rFont val="Noto Sans CJK SC"/>
        <family val="2"/>
      </rPr>
      <t xml:space="preserve">覓友</t>
    </r>
  </si>
  <si>
    <t xml:space="preserve">1.3.8</t>
  </si>
  <si>
    <t xml:space="preserve">SW-213</t>
  </si>
  <si>
    <r>
      <rPr>
        <sz val="10"/>
        <color rgb="FF000000"/>
        <rFont val="Noto Sans CJK SC"/>
        <family val="2"/>
      </rPr>
      <t xml:space="preserve">　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：幣勝客 </t>
    </r>
    <r>
      <rPr>
        <sz val="10"/>
        <color rgb="FF000000"/>
        <rFont val="Arial"/>
        <family val="0"/>
        <charset val="1"/>
      </rPr>
      <t xml:space="preserve">Coin Winner</t>
    </r>
  </si>
  <si>
    <t xml:space="preserve">1.3.9</t>
  </si>
  <si>
    <t xml:space="preserve">SW-214</t>
  </si>
  <si>
    <r>
      <rPr>
        <sz val="10"/>
        <color rgb="FF000000"/>
        <rFont val="Noto Sans CJK SC"/>
        <family val="2"/>
      </rPr>
      <t xml:space="preserve">　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LINE </t>
    </r>
    <r>
      <rPr>
        <sz val="10"/>
        <color rgb="FF000000"/>
        <rFont val="Noto Sans CJK SC"/>
        <family val="2"/>
      </rPr>
      <t xml:space="preserve">對話外殼</t>
    </r>
  </si>
  <si>
    <t xml:space="preserve">1.3.10</t>
  </si>
  <si>
    <t xml:space="preserve">SW-215</t>
  </si>
  <si>
    <r>
      <rPr>
        <sz val="10"/>
        <color rgb="FF000000"/>
        <rFont val="Noto Sans CJK SC"/>
        <family val="2"/>
      </rPr>
      <t xml:space="preserve">　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：黑皮購物 </t>
    </r>
    <r>
      <rPr>
        <sz val="10"/>
        <color rgb="FF000000"/>
        <rFont val="Arial"/>
        <family val="0"/>
        <charset val="1"/>
      </rPr>
      <t xml:space="preserve">BlackPi</t>
    </r>
  </si>
  <si>
    <t xml:space="preserve">1.3.11</t>
  </si>
  <si>
    <t xml:space="preserve">SW-216</t>
  </si>
  <si>
    <r>
      <rPr>
        <sz val="10"/>
        <color rgb="FF000000"/>
        <rFont val="Noto Sans CJK SC"/>
        <family val="2"/>
      </rPr>
      <t xml:space="preserve">　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：黑皮通 </t>
    </r>
    <r>
      <rPr>
        <sz val="10"/>
        <color rgb="FF000000"/>
        <rFont val="Arial"/>
        <family val="0"/>
        <charset val="1"/>
      </rPr>
      <t xml:space="preserve">HPE Logistics</t>
    </r>
  </si>
  <si>
    <t xml:space="preserve">1.3.12</t>
  </si>
  <si>
    <t xml:space="preserve">SW-217</t>
  </si>
  <si>
    <r>
      <rPr>
        <sz val="10"/>
        <color rgb="FF000000"/>
        <rFont val="Noto Sans CJK SC"/>
        <family val="2"/>
      </rPr>
      <t xml:space="preserve">　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：買東東 </t>
    </r>
    <r>
      <rPr>
        <sz val="10"/>
        <color rgb="FF000000"/>
        <rFont val="Arial"/>
        <family val="0"/>
        <charset val="1"/>
      </rPr>
      <t xml:space="preserve">MyDonDon</t>
    </r>
    <r>
      <rPr>
        <sz val="10"/>
        <color rgb="FF000000"/>
        <rFont val="Noto Sans CJK SC"/>
        <family val="2"/>
      </rPr>
      <t xml:space="preserve">（二手交易平台）</t>
    </r>
  </si>
  <si>
    <t xml:space="preserve">1.3.13</t>
  </si>
  <si>
    <t xml:space="preserve">SW-221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</si>
  <si>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Scenario 01 </t>
    </r>
    <r>
      <rPr>
        <sz val="10"/>
        <color rgb="FF000000"/>
        <rFont val="Noto Sans CJK SC"/>
        <family val="2"/>
      </rPr>
      <t xml:space="preserve">財富陷阱／假投資詐騙</t>
    </r>
  </si>
  <si>
    <t xml:space="preserve">1.3.14</t>
  </si>
  <si>
    <t xml:space="preserve">SW-222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</si>
  <si>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Scenario 02 </t>
    </r>
    <r>
      <rPr>
        <sz val="10"/>
        <color rgb="FF000000"/>
        <rFont val="Noto Sans CJK SC"/>
        <family val="2"/>
      </rPr>
      <t xml:space="preserve">戀愛劇本／假交友詐騙</t>
    </r>
  </si>
  <si>
    <t xml:space="preserve">1.3.15</t>
  </si>
  <si>
    <t xml:space="preserve">SW-223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</si>
  <si>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Scenario 03 </t>
    </r>
    <r>
      <rPr>
        <sz val="10"/>
        <color rgb="FF000000"/>
        <rFont val="Noto Sans CJK SC"/>
        <family val="2"/>
      </rPr>
      <t xml:space="preserve">權威陷阱／假檢警詐騙</t>
    </r>
  </si>
  <si>
    <t xml:space="preserve">1.3.16</t>
  </si>
  <si>
    <t xml:space="preserve">SW-224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</si>
  <si>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Scenario 04 </t>
    </r>
    <r>
      <rPr>
        <sz val="10"/>
        <color rgb="FF000000"/>
        <rFont val="Noto Sans CJK SC"/>
        <family val="2"/>
      </rPr>
      <t xml:space="preserve">黑箱包裹／假賣家詐騙</t>
    </r>
  </si>
  <si>
    <t xml:space="preserve">1.3.17</t>
  </si>
  <si>
    <t xml:space="preserve">SW-225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</si>
  <si>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Scenario 05 </t>
    </r>
    <r>
      <rPr>
        <sz val="10"/>
        <color rgb="FF000000"/>
        <rFont val="Noto Sans CJK SC"/>
        <family val="2"/>
      </rPr>
      <t xml:space="preserve">幽靈訂單／假買家詐騙</t>
    </r>
  </si>
  <si>
    <t xml:space="preserve">1.3.18</t>
  </si>
  <si>
    <t xml:space="preserve">SW-231</t>
  </si>
  <si>
    <t xml:space="preserve">　　共用多媒體素材</t>
  </si>
  <si>
    <t xml:space="preserve">1.3.19</t>
  </si>
  <si>
    <t xml:space="preserve">SW-232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</si>
  <si>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辨識圖卡資料集</t>
    </r>
  </si>
  <si>
    <t xml:space="preserve">1.3.20</t>
  </si>
  <si>
    <t xml:space="preserve">SW-233</t>
  </si>
  <si>
    <t xml:space="preserve">　　地區與司法警政機關資料</t>
  </si>
  <si>
    <t xml:space="preserve">1.3.21</t>
  </si>
  <si>
    <t xml:space="preserve">SW-234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</si>
  <si>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PWA </t>
    </r>
    <r>
      <rPr>
        <sz val="10"/>
        <color rgb="FF000000"/>
        <rFont val="Noto Sans CJK SC"/>
        <family val="2"/>
      </rPr>
      <t xml:space="preserve">外殼（</t>
    </r>
    <r>
      <rPr>
        <sz val="10"/>
        <color rgb="FF000000"/>
        <rFont val="Arial"/>
        <family val="0"/>
        <charset val="1"/>
      </rPr>
      <t xml:space="preserve">index.html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manifest</t>
    </r>
    <r>
      <rPr>
        <sz val="10"/>
        <color rgb="FF000000"/>
        <rFont val="Noto Sans CJK SC"/>
        <family val="2"/>
      </rPr>
      <t xml:space="preserve">／圖示／</t>
    </r>
    <r>
      <rPr>
        <sz val="10"/>
        <color rgb="FF000000"/>
        <rFont val="Arial"/>
        <family val="0"/>
        <charset val="1"/>
      </rPr>
      <t xml:space="preserve">Service Worker</t>
    </r>
    <r>
      <rPr>
        <sz val="10"/>
        <color rgb="FF000000"/>
        <rFont val="Noto Sans CJK SC"/>
        <family val="2"/>
      </rPr>
      <t xml:space="preserve">）</t>
    </r>
  </si>
  <si>
    <t xml:space="preserve">1.3.22</t>
  </si>
  <si>
    <t xml:space="preserve">SW-240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</si>
  <si>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建置設定</t>
    </r>
  </si>
  <si>
    <t xml:space="preserve">1.4</t>
  </si>
  <si>
    <t xml:space="preserve">SW-300</t>
  </si>
  <si>
    <t xml:space="preserve">　開發、測試與發布工具</t>
  </si>
  <si>
    <t xml:space="preserve">1.4.1</t>
  </si>
  <si>
    <t xml:space="preserve">SW-301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</si>
  <si>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驗證與測試腳本</t>
    </r>
  </si>
  <si>
    <t xml:space="preserve">1.4.2</t>
  </si>
  <si>
    <t xml:space="preserve">SW-302</t>
  </si>
  <si>
    <t xml:space="preserve">　　素材原始檔</t>
  </si>
  <si>
    <t xml:space="preserve">1.4.3</t>
  </si>
  <si>
    <t xml:space="preserve">SW-303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</si>
  <si>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CI/CD </t>
    </r>
    <r>
      <rPr>
        <sz val="10"/>
        <color rgb="FF000000"/>
        <rFont val="Noto Sans CJK SC"/>
        <family val="2"/>
      </rPr>
      <t xml:space="preserve">工作流程</t>
    </r>
  </si>
  <si>
    <t xml:space="preserve">1.4.4</t>
  </si>
  <si>
    <t xml:space="preserve">SW-304</t>
  </si>
  <si>
    <r>
      <rPr>
        <sz val="10"/>
        <color rgb="FF000000"/>
        <rFont val="Noto Sans CJK SC"/>
        <family val="2"/>
      </rPr>
      <t xml:space="preserve">　　版本與 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發布紀錄</t>
    </r>
  </si>
  <si>
    <r>
      <rPr>
        <sz val="10"/>
        <color rgb="FF000000"/>
        <rFont val="Arial"/>
        <family val="0"/>
        <charset val="1"/>
      </rPr>
      <t xml:space="preserve">Shell 1.2.0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Web 1.7.8</t>
    </r>
  </si>
  <si>
    <t xml:space="preserve">發布紀錄（不出貨）</t>
  </si>
  <si>
    <t xml:space="preserve">1.4.5</t>
  </si>
  <si>
    <t xml:space="preserve">SW-305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</si>
  <si>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GitHub Pages </t>
    </r>
    <r>
      <rPr>
        <sz val="10"/>
        <color rgb="FF000000"/>
        <rFont val="Noto Sans CJK SC"/>
        <family val="2"/>
      </rPr>
      <t xml:space="preserve">預覽站台建置產物</t>
    </r>
  </si>
  <si>
    <r>
      <rPr>
        <sz val="10"/>
        <color rgb="FF000000"/>
        <rFont val="Noto Sans CJK SC"/>
        <family val="2"/>
      </rPr>
      <t xml:space="preserve">開發預覽站台 </t>
    </r>
    <r>
      <rPr>
        <sz val="10"/>
        <color rgb="FF000000"/>
        <rFont val="Arial"/>
        <family val="0"/>
        <charset val="1"/>
      </rPr>
      <t xml:space="preserve">GitHub Pages</t>
    </r>
    <r>
      <rPr>
        <sz val="10"/>
        <color rgb="FF000000"/>
        <rFont val="Noto Sans CJK SC"/>
        <family val="2"/>
      </rPr>
      <t xml:space="preserve">（不出貨）</t>
    </r>
  </si>
  <si>
    <t xml:space="preserve">1.5</t>
  </si>
  <si>
    <t xml:space="preserve">DOC-100</t>
  </si>
  <si>
    <t xml:space="preserve">　專案文件</t>
  </si>
  <si>
    <t xml:space="preserve">文件</t>
  </si>
  <si>
    <t xml:space="preserve">1.5.1</t>
  </si>
  <si>
    <t xml:space="preserve">DOC-101</t>
  </si>
  <si>
    <t xml:space="preserve">　　正式文件（規格書／教育訓練操作手冊）</t>
  </si>
  <si>
    <t xml:space="preserve">1.5.2</t>
  </si>
  <si>
    <t xml:space="preserve">DOC-102</t>
  </si>
  <si>
    <t xml:space="preserve">　　工程與規範文件</t>
  </si>
  <si>
    <t xml:space="preserve">1.5.3</t>
  </si>
  <si>
    <t xml:space="preserve">DOC-103</t>
  </si>
  <si>
    <t xml:space="preserve">　　翻譯稿與所在地對照資料</t>
  </si>
  <si>
    <t xml:space="preserve">1.5.4</t>
  </si>
  <si>
    <t xml:space="preserve">DOC-104</t>
  </si>
  <si>
    <r>
      <rPr>
        <sz val="10"/>
        <color rgb="FF000000"/>
        <rFont val="Noto Sans CJK SC"/>
        <family val="2"/>
      </rPr>
      <t xml:space="preserve">　　</t>
    </r>
    <r>
      <rPr>
        <sz val="10"/>
        <color rgb="FF000000"/>
        <rFont val="Arial"/>
        <family val="0"/>
        <charset val="1"/>
      </rPr>
      <t xml:space="preserve">PR </t>
    </r>
    <r>
      <rPr>
        <sz val="10"/>
        <color rgb="FF000000"/>
        <rFont val="Noto Sans CJK SC"/>
        <family val="2"/>
      </rPr>
      <t xml:space="preserve">驗收截圖</t>
    </r>
  </si>
  <si>
    <r>
      <rPr>
        <b val="true"/>
        <sz val="10"/>
        <color rgb="FF000000"/>
        <rFont val="Arial"/>
        <family val="0"/>
        <charset val="1"/>
      </rPr>
      <t xml:space="preserve">BOM </t>
    </r>
    <r>
      <rPr>
        <b val="true"/>
        <sz val="10"/>
        <color rgb="FF000000"/>
        <rFont val="Noto Sans CJK SC"/>
        <family val="2"/>
      </rPr>
      <t xml:space="preserve">總計（硬體＋軟體選填費用）</t>
    </r>
  </si>
  <si>
    <r>
      <rPr>
        <i val="true"/>
        <sz val="9"/>
        <color rgb="FF595959"/>
        <rFont val="Noto Sans CJK SC"/>
        <family val="2"/>
      </rPr>
      <t xml:space="preserve">註：硬體群組列（</t>
    </r>
    <r>
      <rPr>
        <i val="true"/>
        <sz val="9"/>
        <color rgb="FF595959"/>
        <rFont val="Arial"/>
        <family val="0"/>
        <charset val="1"/>
      </rPr>
      <t xml:space="preserve">1.1</t>
    </r>
    <r>
      <rPr>
        <i val="true"/>
        <sz val="9"/>
        <color rgb="FF595959"/>
        <rFont val="Noto Sans CJK SC"/>
        <family val="2"/>
      </rPr>
      <t xml:space="preserve">）的小計為硬體合計，僅供參考，不重複計入 </t>
    </r>
    <r>
      <rPr>
        <i val="true"/>
        <sz val="9"/>
        <color rgb="FF595959"/>
        <rFont val="Arial"/>
        <family val="0"/>
        <charset val="1"/>
      </rPr>
      <t xml:space="preserve">BOM </t>
    </r>
    <r>
      <rPr>
        <i val="true"/>
        <sz val="9"/>
        <color rgb="FF595959"/>
        <rFont val="Noto Sans CJK SC"/>
        <family val="2"/>
      </rPr>
      <t xml:space="preserve">總計。</t>
    </r>
  </si>
  <si>
    <r>
      <rPr>
        <b val="true"/>
        <sz val="14"/>
        <color rgb="FF000000"/>
        <rFont val="Noto Sans CJK SC"/>
        <family val="2"/>
      </rPr>
      <t xml:space="preserve">硬體 </t>
    </r>
    <r>
      <rPr>
        <b val="true"/>
        <sz val="14"/>
        <color rgb="FF000000"/>
        <rFont val="Arial"/>
        <family val="0"/>
        <charset val="1"/>
      </rPr>
      <t xml:space="preserve">BOM</t>
    </r>
  </si>
  <si>
    <r>
      <rPr>
        <i val="true"/>
        <sz val="9"/>
        <color rgb="FF595959"/>
        <rFont val="Noto Sans CJK SC"/>
        <family val="2"/>
      </rPr>
      <t xml:space="preserve">數量為「每 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套展示組」的用量；總數量 ＝ 單套數量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封面「採購套數」。黃底欄位請填寫。</t>
    </r>
  </si>
  <si>
    <t xml:space="preserve">品牌／廠商</t>
  </si>
  <si>
    <t xml:space="preserve">型號</t>
  </si>
  <si>
    <t xml:space="preserve">功能用途</t>
  </si>
  <si>
    <t xml:space="preserve">關鍵規格／相容需求</t>
  </si>
  <si>
    <t xml:space="preserve">規格依據</t>
  </si>
  <si>
    <t xml:space="preserve">備註</t>
  </si>
  <si>
    <r>
      <rPr>
        <b val="true"/>
        <sz val="10"/>
        <color rgb="FF000000"/>
        <rFont val="Noto Sans CJK SC"/>
        <family val="2"/>
      </rPr>
      <t xml:space="preserve">佐臻 </t>
    </r>
    <r>
      <rPr>
        <b val="true"/>
        <sz val="10"/>
        <color rgb="FF000000"/>
        <rFont val="Arial"/>
        <family val="0"/>
        <charset val="1"/>
      </rPr>
      <t xml:space="preserve">AR </t>
    </r>
    <r>
      <rPr>
        <b val="true"/>
        <sz val="10"/>
        <color rgb="FF000000"/>
        <rFont val="Noto Sans CJK SC"/>
        <family val="2"/>
      </rPr>
      <t xml:space="preserve">眼鏡</t>
    </r>
  </si>
  <si>
    <r>
      <rPr>
        <sz val="10"/>
        <color rgb="FF0000FF"/>
        <rFont val="Arial"/>
        <family val="0"/>
        <charset val="1"/>
      </rPr>
      <t xml:space="preserve">J-Reality </t>
    </r>
    <r>
      <rPr>
        <sz val="10"/>
        <color rgb="FF0000FF"/>
        <rFont val="Noto Sans CJK SC"/>
        <family val="2"/>
      </rPr>
      <t xml:space="preserve">系列 </t>
    </r>
    <r>
      <rPr>
        <sz val="10"/>
        <color rgb="FF0000FF"/>
        <rFont val="Arial"/>
        <family val="0"/>
        <charset val="1"/>
      </rPr>
      <t xml:space="preserve">AR </t>
    </r>
    <r>
      <rPr>
        <sz val="10"/>
        <color rgb="FF0000FF"/>
        <rFont val="Noto Sans CJK SC"/>
        <family val="2"/>
      </rPr>
      <t xml:space="preserve">眼鏡（須含 </t>
    </r>
    <r>
      <rPr>
        <sz val="10"/>
        <color rgb="FF0000FF"/>
        <rFont val="Arial"/>
        <family val="0"/>
        <charset val="1"/>
      </rPr>
      <t xml:space="preserve">RGB </t>
    </r>
    <r>
      <rPr>
        <sz val="10"/>
        <color rgb="FF0000FF"/>
        <rFont val="Noto Sans CJK SC"/>
        <family val="2"/>
      </rPr>
      <t xml:space="preserve">相機＋</t>
    </r>
    <r>
      <rPr>
        <sz val="10"/>
        <color rgb="FF0000FF"/>
        <rFont val="Arial"/>
        <family val="0"/>
        <charset val="1"/>
      </rPr>
      <t xml:space="preserve">ToF </t>
    </r>
    <r>
      <rPr>
        <sz val="10"/>
        <color rgb="FF0000FF"/>
        <rFont val="Noto Sans CJK SC"/>
        <family val="2"/>
      </rPr>
      <t xml:space="preserve">手勢模組；確切型號請依採購單填寫）</t>
    </r>
  </si>
  <si>
    <r>
      <rPr>
        <sz val="10"/>
        <color rgb="FF000000"/>
        <rFont val="Noto Sans CJK SC"/>
        <family val="2"/>
      </rPr>
      <t xml:space="preserve">參觀者佩戴的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顯示裝置；提供圖卡辨識用 </t>
    </r>
    <r>
      <rPr>
        <sz val="10"/>
        <color rgb="FF000000"/>
        <rFont val="Arial"/>
        <family val="0"/>
        <charset val="1"/>
      </rPr>
      <t xml:space="preserve">RGB </t>
    </r>
    <r>
      <rPr>
        <sz val="10"/>
        <color rgb="FF000000"/>
        <rFont val="Noto Sans CJK SC"/>
        <family val="2"/>
      </rPr>
      <t xml:space="preserve">相機影像，並以 </t>
    </r>
    <r>
      <rPr>
        <sz val="10"/>
        <color rgb="FF000000"/>
        <rFont val="Arial"/>
        <family val="0"/>
        <charset val="1"/>
      </rPr>
      <t xml:space="preserve">ToF </t>
    </r>
    <r>
      <rPr>
        <sz val="10"/>
        <color rgb="FF000000"/>
        <rFont val="Noto Sans CJK SC"/>
        <family val="2"/>
      </rPr>
      <t xml:space="preserve">深度感測器辨識左揮／右揮手勢</t>
    </r>
  </si>
  <si>
    <r>
      <rPr>
        <sz val="10"/>
        <color rgb="FF000000"/>
        <rFont val="Noto Sans CJK SC"/>
        <family val="2"/>
      </rPr>
      <t xml:space="preserve">• 驅動：佐臻 </t>
    </r>
    <r>
      <rPr>
        <sz val="10"/>
        <color rgb="FF000000"/>
        <rFont val="Arial"/>
        <family val="0"/>
        <charset val="1"/>
      </rPr>
      <t xml:space="preserve">JJSDK v1.3.3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CameraManager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TofManager</t>
    </r>
    <r>
      <rPr>
        <sz val="10"/>
        <color rgb="FF000000"/>
        <rFont val="Noto Sans CJK SC"/>
        <family val="2"/>
      </rPr>
      <t xml:space="preserve">）
• </t>
    </r>
    <r>
      <rPr>
        <sz val="10"/>
        <color rgb="FF000000"/>
        <rFont val="Arial"/>
        <family val="0"/>
        <charset val="1"/>
      </rPr>
      <t xml:space="preserve">RGB </t>
    </r>
    <r>
      <rPr>
        <sz val="10"/>
        <color rgb="FF000000"/>
        <rFont val="Noto Sans CJK SC"/>
        <family val="2"/>
      </rPr>
      <t xml:space="preserve">相機：</t>
    </r>
    <r>
      <rPr>
        <sz val="10"/>
        <color rgb="FF000000"/>
        <rFont val="Arial"/>
        <family val="0"/>
        <charset val="1"/>
      </rPr>
      <t xml:space="preserve">USB UVC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CIBAR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640×480 </t>
    </r>
    <r>
      <rPr>
        <sz val="10"/>
        <color rgb="FF000000"/>
        <rFont val="Noto Sans CJK SC"/>
        <family val="2"/>
      </rPr>
      <t xml:space="preserve">影像進行圖卡辨識
• </t>
    </r>
    <r>
      <rPr>
        <sz val="10"/>
        <color rgb="FF000000"/>
        <rFont val="Arial"/>
        <family val="0"/>
        <charset val="1"/>
      </rPr>
      <t xml:space="preserve">ToF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8×8 </t>
    </r>
    <r>
      <rPr>
        <sz val="10"/>
        <color rgb="FF000000"/>
        <rFont val="Noto Sans CJK SC"/>
        <family val="2"/>
      </rPr>
      <t xml:space="preserve">深度感測器，</t>
    </r>
    <r>
      <rPr>
        <sz val="10"/>
        <color rgb="FF000000"/>
        <rFont val="Arial"/>
        <family val="0"/>
        <charset val="1"/>
      </rPr>
      <t xml:space="preserve">ToF </t>
    </r>
    <r>
      <rPr>
        <sz val="10"/>
        <color rgb="FF000000"/>
        <rFont val="Noto Sans CJK SC"/>
        <family val="2"/>
      </rPr>
      <t xml:space="preserve">韌體須 ≥ </t>
    </r>
    <r>
      <rPr>
        <sz val="10"/>
        <color rgb="FF000000"/>
        <rFont val="Arial"/>
        <family val="0"/>
        <charset val="1"/>
      </rPr>
      <t xml:space="preserve">v1.2.2</t>
    </r>
    <r>
      <rPr>
        <sz val="10"/>
        <color rgb="FF000000"/>
        <rFont val="Noto Sans CJK SC"/>
        <family val="2"/>
      </rPr>
      <t xml:space="preserve">（低於此版本不會產生手勢）
• </t>
    </r>
    <r>
      <rPr>
        <sz val="10"/>
        <color rgb="FF000000"/>
        <rFont val="Arial"/>
        <family val="0"/>
        <charset val="1"/>
      </rPr>
      <t xml:space="preserve">USB </t>
    </r>
    <r>
      <rPr>
        <sz val="10"/>
        <color rgb="FF000000"/>
        <rFont val="Noto Sans CJK SC"/>
        <family val="2"/>
      </rPr>
      <t xml:space="preserve">裝置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ToF 0x0483:0x5740</t>
    </r>
    <r>
      <rPr>
        <sz val="10"/>
        <color rgb="FF000000"/>
        <rFont val="Noto Sans CJK SC"/>
        <family val="2"/>
      </rPr>
      <t xml:space="preserve">（舊版）、</t>
    </r>
    <r>
      <rPr>
        <sz val="10"/>
        <color rgb="FF000000"/>
        <rFont val="Arial"/>
        <family val="0"/>
        <charset val="1"/>
      </rPr>
      <t xml:space="preserve">0x350E:0x3723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0x350E:0x3501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RGB </t>
    </r>
    <r>
      <rPr>
        <sz val="10"/>
        <color rgb="FF000000"/>
        <rFont val="Noto Sans CJK SC"/>
        <family val="2"/>
      </rPr>
      <t xml:space="preserve">相機為 </t>
    </r>
    <r>
      <rPr>
        <sz val="10"/>
        <color rgb="FF000000"/>
        <rFont val="Arial"/>
        <family val="0"/>
        <charset val="1"/>
      </rPr>
      <t xml:space="preserve">UVC video class
• </t>
    </r>
    <r>
      <rPr>
        <sz val="10"/>
        <color rgb="FF000000"/>
        <rFont val="Noto Sans CJK SC"/>
        <family val="2"/>
      </rPr>
      <t xml:space="preserve">連接：</t>
    </r>
    <r>
      <rPr>
        <sz val="10"/>
        <color rgb="FF000000"/>
        <rFont val="Arial"/>
        <family val="0"/>
        <charset val="1"/>
      </rPr>
      <t xml:space="preserve">USB-C </t>
    </r>
    <r>
      <rPr>
        <sz val="10"/>
        <color rgb="FF000000"/>
        <rFont val="Noto Sans CJK SC"/>
        <family val="2"/>
      </rPr>
      <t xml:space="preserve">接手機，須具資料傳輸能力（純充電線無法枚舉裝置）</t>
    </r>
  </si>
  <si>
    <r>
      <rPr>
        <sz val="9"/>
        <color rgb="FF000000"/>
        <rFont val="Arial"/>
        <family val="0"/>
        <charset val="1"/>
      </rPr>
      <t xml:space="preserve">android/README.md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Arial"/>
        <family val="0"/>
        <charset val="1"/>
      </rPr>
      <t xml:space="preserve">android/app/src/main/res/xml/device_filter.xml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Arial"/>
        <family val="0"/>
        <charset val="1"/>
      </rPr>
      <t xml:space="preserve">docs/CIBAR-Technical-Specification.md §2.11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Arial"/>
        <family val="0"/>
        <charset val="1"/>
      </rPr>
      <t xml:space="preserve">docs/ar-glasses-camera-diagnosis.md</t>
    </r>
  </si>
  <si>
    <r>
      <rPr>
        <sz val="9"/>
        <color rgb="FF000000"/>
        <rFont val="Noto Sans CJK SC"/>
        <family val="2"/>
      </rPr>
      <t xml:space="preserve">強烈日光、紅外線補光燈可能干擾 </t>
    </r>
    <r>
      <rPr>
        <sz val="9"/>
        <color rgb="FF000000"/>
        <rFont val="Arial"/>
        <family val="0"/>
        <charset val="1"/>
      </rPr>
      <t xml:space="preserve">ToF</t>
    </r>
    <r>
      <rPr>
        <sz val="9"/>
        <color rgb="FF000000"/>
        <rFont val="Noto Sans CJK SC"/>
        <family val="2"/>
      </rPr>
      <t xml:space="preserve">；建議室內 </t>
    </r>
    <r>
      <rPr>
        <sz val="9"/>
        <color rgb="FF000000"/>
        <rFont val="Arial"/>
        <family val="0"/>
        <charset val="1"/>
      </rPr>
      <t xml:space="preserve">LED </t>
    </r>
    <r>
      <rPr>
        <sz val="9"/>
        <color rgb="FF000000"/>
        <rFont val="Noto Sans CJK SC"/>
        <family val="2"/>
      </rPr>
      <t xml:space="preserve">照明</t>
    </r>
  </si>
  <si>
    <r>
      <rPr>
        <b val="true"/>
        <sz val="10"/>
        <color rgb="FF000000"/>
        <rFont val="Arial"/>
        <family val="0"/>
        <charset val="1"/>
      </rPr>
      <t xml:space="preserve">AR </t>
    </r>
    <r>
      <rPr>
        <b val="true"/>
        <sz val="10"/>
        <color rgb="FF000000"/>
        <rFont val="Noto Sans CJK SC"/>
        <family val="2"/>
      </rPr>
      <t xml:space="preserve">眼鏡遮光片</t>
    </r>
  </si>
  <si>
    <r>
      <rPr>
        <sz val="10"/>
        <color rgb="FF0000FF"/>
        <rFont val="Noto Sans CJK SC"/>
        <family val="2"/>
      </rPr>
      <t xml:space="preserve">對應 </t>
    </r>
    <r>
      <rPr>
        <sz val="10"/>
        <color rgb="FF0000FF"/>
        <rFont val="Arial"/>
        <family val="0"/>
        <charset val="1"/>
      </rPr>
      <t xml:space="preserve">HW-001 </t>
    </r>
    <r>
      <rPr>
        <sz val="10"/>
        <color rgb="FF0000FF"/>
        <rFont val="Noto Sans CJK SC"/>
        <family val="2"/>
      </rPr>
      <t xml:space="preserve">眼鏡型號之遮光片（確切型號請填寫）</t>
    </r>
  </si>
  <si>
    <t xml:space="preserve">外掛於眼鏡前方，降低環境光，提升眼鏡顯示畫面的對比與可視性</t>
  </si>
  <si>
    <r>
      <rPr>
        <sz val="10"/>
        <color rgb="FF000000"/>
        <rFont val="Noto Sans CJK SC"/>
        <family val="2"/>
      </rPr>
      <t xml:space="preserve">• 須與 </t>
    </r>
    <r>
      <rPr>
        <sz val="10"/>
        <color rgb="FF000000"/>
        <rFont val="Arial"/>
        <family val="0"/>
        <charset val="1"/>
      </rPr>
      <t xml:space="preserve">HW-001 </t>
    </r>
    <r>
      <rPr>
        <sz val="10"/>
        <color rgb="FF000000"/>
        <rFont val="Noto Sans CJK SC"/>
        <family val="2"/>
      </rPr>
      <t xml:space="preserve">眼鏡型號相容
• 安裝後請確認未遮擋 </t>
    </r>
    <r>
      <rPr>
        <sz val="10"/>
        <color rgb="FF000000"/>
        <rFont val="Arial"/>
        <family val="0"/>
        <charset val="1"/>
      </rPr>
      <t xml:space="preserve">RGB </t>
    </r>
    <r>
      <rPr>
        <sz val="10"/>
        <color rgb="FF000000"/>
        <rFont val="Noto Sans CJK SC"/>
        <family val="2"/>
      </rPr>
      <t xml:space="preserve">相機與 </t>
    </r>
    <r>
      <rPr>
        <sz val="10"/>
        <color rgb="FF000000"/>
        <rFont val="Arial"/>
        <family val="0"/>
        <charset val="1"/>
      </rPr>
      <t xml:space="preserve">ToF </t>
    </r>
    <r>
      <rPr>
        <sz val="10"/>
        <color rgb="FF000000"/>
        <rFont val="Noto Sans CJK SC"/>
        <family val="2"/>
      </rPr>
      <t xml:space="preserve">感測器</t>
    </r>
  </si>
  <si>
    <t xml:space="preserve">使用者指定品項</t>
  </si>
  <si>
    <t xml:space="preserve">展場燈光較強時使用</t>
  </si>
  <si>
    <r>
      <rPr>
        <b val="true"/>
        <sz val="10"/>
        <color rgb="FF000000"/>
        <rFont val="Arial"/>
        <family val="0"/>
        <charset val="1"/>
      </rPr>
      <t xml:space="preserve">AR </t>
    </r>
    <r>
      <rPr>
        <b val="true"/>
        <sz val="10"/>
        <color rgb="FF000000"/>
        <rFont val="Noto Sans CJK SC"/>
        <family val="2"/>
      </rPr>
      <t xml:space="preserve">眼鏡收納包</t>
    </r>
  </si>
  <si>
    <r>
      <rPr>
        <sz val="10"/>
        <color rgb="FF0000FF"/>
        <rFont val="Noto Sans CJK SC"/>
        <family val="2"/>
      </rPr>
      <t xml:space="preserve">對應 </t>
    </r>
    <r>
      <rPr>
        <sz val="10"/>
        <color rgb="FF0000FF"/>
        <rFont val="Arial"/>
        <family val="0"/>
        <charset val="1"/>
      </rPr>
      <t xml:space="preserve">HW-001 </t>
    </r>
    <r>
      <rPr>
        <sz val="10"/>
        <color rgb="FF0000FF"/>
        <rFont val="Noto Sans CJK SC"/>
        <family val="2"/>
      </rPr>
      <t xml:space="preserve">眼鏡型號之收納包（確切型號請填寫）</t>
    </r>
  </si>
  <si>
    <r>
      <rPr>
        <sz val="10"/>
        <color rgb="FF000000"/>
        <rFont val="Noto Sans CJK SC"/>
        <family val="2"/>
      </rPr>
      <t xml:space="preserve">眼鏡、遮光片與 </t>
    </r>
    <r>
      <rPr>
        <sz val="10"/>
        <color rgb="FF000000"/>
        <rFont val="Arial"/>
        <family val="0"/>
        <charset val="1"/>
      </rPr>
      <t xml:space="preserve">USB-C </t>
    </r>
    <r>
      <rPr>
        <sz val="10"/>
        <color rgb="FF000000"/>
        <rFont val="Noto Sans CJK SC"/>
        <family val="2"/>
      </rPr>
      <t xml:space="preserve">線材的收納、運輸與保護</t>
    </r>
  </si>
  <si>
    <r>
      <rPr>
        <sz val="10"/>
        <color rgb="FF000000"/>
        <rFont val="Noto Sans CJK SC"/>
        <family val="2"/>
      </rPr>
      <t xml:space="preserve">• 須可容納 </t>
    </r>
    <r>
      <rPr>
        <sz val="10"/>
        <color rgb="FF000000"/>
        <rFont val="Arial"/>
        <family val="0"/>
        <charset val="1"/>
      </rPr>
      <t xml:space="preserve">HW-001 </t>
    </r>
    <r>
      <rPr>
        <sz val="10"/>
        <color rgb="FF000000"/>
        <rFont val="Noto Sans CJK SC"/>
        <family val="2"/>
      </rPr>
      <t xml:space="preserve">眼鏡本體與 </t>
    </r>
    <r>
      <rPr>
        <sz val="10"/>
        <color rgb="FF000000"/>
        <rFont val="Arial"/>
        <family val="0"/>
        <charset val="1"/>
      </rPr>
      <t xml:space="preserve">HW-002 </t>
    </r>
    <r>
      <rPr>
        <sz val="10"/>
        <color rgb="FF000000"/>
        <rFont val="Noto Sans CJK SC"/>
        <family val="2"/>
      </rPr>
      <t xml:space="preserve">遮光片</t>
    </r>
  </si>
  <si>
    <r>
      <rPr>
        <b val="true"/>
        <sz val="10"/>
        <color rgb="FF000000"/>
        <rFont val="Arial"/>
        <family val="0"/>
        <charset val="1"/>
      </rPr>
      <t xml:space="preserve">HTC </t>
    </r>
    <r>
      <rPr>
        <b val="true"/>
        <sz val="10"/>
        <color rgb="FF000000"/>
        <rFont val="Noto Sans CJK SC"/>
        <family val="2"/>
      </rPr>
      <t xml:space="preserve">手機</t>
    </r>
  </si>
  <si>
    <r>
      <rPr>
        <sz val="10"/>
        <color rgb="FF000000"/>
        <rFont val="Noto Sans CJK SC"/>
        <family val="2"/>
      </rPr>
      <t xml:space="preserve">體驗主機：執行「反詐</t>
    </r>
    <r>
      <rPr>
        <sz val="10"/>
        <color rgb="FF000000"/>
        <rFont val="Arial"/>
        <family val="0"/>
        <charset val="1"/>
      </rPr>
      <t xml:space="preserve">AR</t>
    </r>
    <r>
      <rPr>
        <sz val="10"/>
        <color rgb="FF000000"/>
        <rFont val="Noto Sans CJK SC"/>
        <family val="2"/>
      </rPr>
      <t xml:space="preserve">體驗」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USB-C </t>
    </r>
    <r>
      <rPr>
        <sz val="10"/>
        <color rgb="FF000000"/>
        <rFont val="Noto Sans CJK SC"/>
        <family val="2"/>
      </rPr>
      <t xml:space="preserve">驅動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眼鏡；眼鏡未接時可用觸控完成體驗（備援）</t>
    </r>
  </si>
  <si>
    <r>
      <rPr>
        <sz val="10"/>
        <color rgb="FF000000"/>
        <rFont val="Arial"/>
        <family val="0"/>
        <charset val="1"/>
      </rPr>
      <t xml:space="preserve">• Android 8.1 </t>
    </r>
    <r>
      <rPr>
        <sz val="10"/>
        <color rgb="FF000000"/>
        <rFont val="Noto Sans CJK SC"/>
        <family val="2"/>
      </rPr>
      <t xml:space="preserve">以上（</t>
    </r>
    <r>
      <rPr>
        <sz val="10"/>
        <color rgb="FF000000"/>
        <rFont val="Arial"/>
        <family val="0"/>
        <charset val="1"/>
      </rPr>
      <t xml:space="preserve">App minSdk 27</t>
    </r>
    <r>
      <rPr>
        <sz val="10"/>
        <color rgb="FF000000"/>
        <rFont val="Noto Sans CJK SC"/>
        <family val="2"/>
      </rPr>
      <t xml:space="preserve">）
• </t>
    </r>
    <r>
      <rPr>
        <sz val="10"/>
        <color rgb="FF000000"/>
        <rFont val="Arial"/>
        <family val="0"/>
        <charset val="1"/>
      </rPr>
      <t xml:space="preserve">USB-C </t>
    </r>
    <r>
      <rPr>
        <sz val="10"/>
        <color rgb="FF000000"/>
        <rFont val="Noto Sans CJK SC"/>
        <family val="2"/>
      </rPr>
      <t xml:space="preserve">須支援 </t>
    </r>
    <r>
      <rPr>
        <sz val="10"/>
        <color rgb="FF000000"/>
        <rFont val="Arial"/>
        <family val="0"/>
        <charset val="1"/>
      </rPr>
      <t xml:space="preserve">DisplayPort Alt Mode</t>
    </r>
    <r>
      <rPr>
        <sz val="10"/>
        <color rgb="FF000000"/>
        <rFont val="Noto Sans CJK SC"/>
        <family val="2"/>
      </rPr>
      <t xml:space="preserve">，且能供電給眼鏡
• 螢幕 </t>
    </r>
    <r>
      <rPr>
        <sz val="10"/>
        <color rgb="FF000000"/>
        <rFont val="Arial"/>
        <family val="0"/>
        <charset val="1"/>
      </rPr>
      <t xml:space="preserve">1080×2400 </t>
    </r>
    <r>
      <rPr>
        <sz val="10"/>
        <color rgb="FF000000"/>
        <rFont val="Noto Sans CJK SC"/>
        <family val="2"/>
      </rPr>
      <t xml:space="preserve">直式（情境畫面以 </t>
    </r>
    <r>
      <rPr>
        <sz val="10"/>
        <color rgb="FF000000"/>
        <rFont val="Arial"/>
        <family val="0"/>
        <charset val="1"/>
      </rPr>
      <t xml:space="preserve">HTC U23 </t>
    </r>
    <r>
      <rPr>
        <sz val="10"/>
        <color rgb="FF000000"/>
        <rFont val="Noto Sans CJK SC"/>
        <family val="2"/>
      </rPr>
      <t xml:space="preserve">實機比例設計）
• 預裝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：反詐</t>
    </r>
    <r>
      <rPr>
        <sz val="10"/>
        <color rgb="FF000000"/>
        <rFont val="Arial"/>
        <family val="0"/>
        <charset val="1"/>
      </rPr>
      <t xml:space="preserve">AR</t>
    </r>
    <r>
      <rPr>
        <sz val="10"/>
        <color rgb="FF000000"/>
        <rFont val="Noto Sans CJK SC"/>
        <family val="2"/>
      </rPr>
      <t xml:space="preserve">體驗（</t>
    </r>
    <r>
      <rPr>
        <sz val="10"/>
        <color rgb="FF000000"/>
        <rFont val="Arial"/>
        <family val="0"/>
        <charset val="1"/>
      </rPr>
      <t xml:space="preserve">applicationId com.bigxreality.jorjinverifier</t>
    </r>
    <r>
      <rPr>
        <sz val="10"/>
        <color rgb="FF000000"/>
        <rFont val="Noto Sans CJK SC"/>
        <family val="2"/>
      </rPr>
      <t xml:space="preserve">）
• 體驗可全程離線；僅 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更新內容時需要網路</t>
    </r>
  </si>
  <si>
    <r>
      <rPr>
        <sz val="9"/>
        <color rgb="FF000000"/>
        <rFont val="Arial"/>
        <family val="0"/>
        <charset val="1"/>
      </rPr>
      <t xml:space="preserve">android/README.md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Arial"/>
        <family val="0"/>
        <charset val="1"/>
      </rPr>
      <t xml:space="preserve">android/app/build.gradle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minSdk 27</t>
    </r>
    <r>
      <rPr>
        <sz val="9"/>
        <color rgb="FF000000"/>
        <rFont val="Noto Sans CJK SC"/>
        <family val="2"/>
      </rPr>
      <t xml:space="preserve">）；</t>
    </r>
    <r>
      <rPr>
        <sz val="9"/>
        <color rgb="FF000000"/>
        <rFont val="Arial"/>
        <family val="0"/>
        <charset val="1"/>
      </rPr>
      <t xml:space="preserve">webapp/src/styles/scenario03.css</t>
    </r>
    <r>
      <rPr>
        <sz val="9"/>
        <color rgb="FF000000"/>
        <rFont val="Noto Sans CJK SC"/>
        <family val="2"/>
      </rPr>
      <t xml:space="preserve">；</t>
    </r>
    <r>
      <rPr>
        <sz val="9"/>
        <color rgb="FF000000"/>
        <rFont val="Arial"/>
        <family val="0"/>
        <charset val="1"/>
      </rPr>
      <t xml:space="preserve">docs/CIBAR-</t>
    </r>
    <r>
      <rPr>
        <sz val="9"/>
        <color rgb="FF000000"/>
        <rFont val="Noto Sans CJK SC"/>
        <family val="2"/>
      </rPr>
      <t xml:space="preserve">教育訓練操作手冊</t>
    </r>
    <r>
      <rPr>
        <sz val="9"/>
        <color rgb="FF000000"/>
        <rFont val="Arial"/>
        <family val="0"/>
        <charset val="1"/>
      </rPr>
      <t xml:space="preserve">.md §2</t>
    </r>
  </si>
  <si>
    <r>
      <rPr>
        <sz val="9"/>
        <color rgb="FF000000"/>
        <rFont val="Noto Sans CJK SC"/>
        <family val="2"/>
      </rPr>
      <t xml:space="preserve">開場前充飽電（≧</t>
    </r>
    <r>
      <rPr>
        <sz val="9"/>
        <color rgb="FF000000"/>
        <rFont val="Arial"/>
        <family val="0"/>
        <charset val="1"/>
      </rPr>
      <t xml:space="preserve">80%</t>
    </r>
    <r>
      <rPr>
        <sz val="9"/>
        <color rgb="FF000000"/>
        <rFont val="Noto Sans CJK SC"/>
        <family val="2"/>
      </rPr>
      <t xml:space="preserve">）；採購前請確認機型實際支援 </t>
    </r>
    <r>
      <rPr>
        <sz val="9"/>
        <color rgb="FF000000"/>
        <rFont val="Arial"/>
        <family val="0"/>
        <charset val="1"/>
      </rPr>
      <t xml:space="preserve">DP Alt Mode </t>
    </r>
    <r>
      <rPr>
        <sz val="9"/>
        <color rgb="FF000000"/>
        <rFont val="Noto Sans CJK SC"/>
        <family val="2"/>
      </rPr>
      <t xml:space="preserve">與對外供電</t>
    </r>
  </si>
  <si>
    <t xml:space="preserve">硬體合計</t>
  </si>
  <si>
    <r>
      <rPr>
        <sz val="9"/>
        <color rgb="FF000000"/>
        <rFont val="Arial"/>
        <family val="0"/>
        <charset val="1"/>
      </rPr>
      <t xml:space="preserve">1. </t>
    </r>
    <r>
      <rPr>
        <sz val="9"/>
        <color rgb="FF000000"/>
        <rFont val="Noto Sans CJK SC"/>
        <family val="2"/>
      </rPr>
      <t xml:space="preserve">單價欄留白時小計顯示「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」；填入報價後金額會同步到「</t>
    </r>
    <r>
      <rPr>
        <sz val="9"/>
        <color rgb="FF000000"/>
        <rFont val="Arial"/>
        <family val="0"/>
        <charset val="1"/>
      </rPr>
      <t xml:space="preserve">BOM</t>
    </r>
    <r>
      <rPr>
        <sz val="9"/>
        <color rgb="FF000000"/>
        <rFont val="Noto Sans CJK SC"/>
        <family val="2"/>
      </rPr>
      <t xml:space="preserve">總表」與「封面」。</t>
    </r>
  </si>
  <si>
    <r>
      <rPr>
        <sz val="9"/>
        <color rgb="FF000000"/>
        <rFont val="Arial"/>
        <family val="0"/>
        <charset val="1"/>
      </rPr>
      <t xml:space="preserve">2. </t>
    </r>
    <r>
      <rPr>
        <sz val="9"/>
        <color rgb="FF000000"/>
        <rFont val="Noto Sans CJK SC"/>
        <family val="2"/>
      </rPr>
      <t xml:space="preserve">眼鏡須為含 </t>
    </r>
    <r>
      <rPr>
        <sz val="9"/>
        <color rgb="FF000000"/>
        <rFont val="Arial"/>
        <family val="0"/>
        <charset val="1"/>
      </rPr>
      <t xml:space="preserve">ToF </t>
    </r>
    <r>
      <rPr>
        <sz val="9"/>
        <color rgb="FF000000"/>
        <rFont val="Noto Sans CJK SC"/>
        <family val="2"/>
      </rPr>
      <t xml:space="preserve">的型號且 </t>
    </r>
    <r>
      <rPr>
        <sz val="9"/>
        <color rgb="FF000000"/>
        <rFont val="Arial"/>
        <family val="0"/>
        <charset val="1"/>
      </rPr>
      <t xml:space="preserve">ToF </t>
    </r>
    <r>
      <rPr>
        <sz val="9"/>
        <color rgb="FF000000"/>
        <rFont val="Noto Sans CJK SC"/>
        <family val="2"/>
      </rPr>
      <t xml:space="preserve">韌體 ≥ </t>
    </r>
    <r>
      <rPr>
        <sz val="9"/>
        <color rgb="FF000000"/>
        <rFont val="Arial"/>
        <family val="0"/>
        <charset val="1"/>
      </rPr>
      <t xml:space="preserve">v1.2.2</t>
    </r>
    <r>
      <rPr>
        <sz val="9"/>
        <color rgb="FF000000"/>
        <rFont val="Noto Sans CJK SC"/>
        <family val="2"/>
      </rPr>
      <t xml:space="preserve">，否則左揮／右揮手勢無法使用（體驗仍可用手機觸控完成）。</t>
    </r>
  </si>
  <si>
    <r>
      <rPr>
        <sz val="9"/>
        <color rgb="FF000000"/>
        <rFont val="Arial"/>
        <family val="0"/>
        <charset val="1"/>
      </rPr>
      <t xml:space="preserve">3. </t>
    </r>
    <r>
      <rPr>
        <sz val="9"/>
        <color rgb="FF000000"/>
        <rFont val="Noto Sans CJK SC"/>
        <family val="2"/>
      </rPr>
      <t xml:space="preserve">眼鏡與手機之間的 </t>
    </r>
    <r>
      <rPr>
        <sz val="9"/>
        <color rgb="FF000000"/>
        <rFont val="Arial"/>
        <family val="0"/>
        <charset val="1"/>
      </rPr>
      <t xml:space="preserve">USB-C </t>
    </r>
    <r>
      <rPr>
        <sz val="9"/>
        <color rgb="FF000000"/>
        <rFont val="Noto Sans CJK SC"/>
        <family val="2"/>
      </rPr>
      <t xml:space="preserve">線須具資料傳輸能力；供電不足時需改用相容的供電／轉接配置（</t>
    </r>
    <r>
      <rPr>
        <sz val="9"/>
        <color rgb="FF000000"/>
        <rFont val="Arial"/>
        <family val="0"/>
        <charset val="1"/>
      </rPr>
      <t xml:space="preserve">android/README.md</t>
    </r>
    <r>
      <rPr>
        <sz val="9"/>
        <color rgb="FF000000"/>
        <rFont val="Noto Sans CJK SC"/>
        <family val="2"/>
      </rPr>
      <t xml:space="preserve">）。</t>
    </r>
  </si>
  <si>
    <r>
      <rPr>
        <sz val="9"/>
        <color rgb="FF000000"/>
        <rFont val="Arial"/>
        <family val="0"/>
        <charset val="1"/>
      </rPr>
      <t xml:space="preserve">4. </t>
    </r>
    <r>
      <rPr>
        <sz val="9"/>
        <color rgb="FF000000"/>
        <rFont val="Noto Sans CJK SC"/>
        <family val="2"/>
      </rPr>
      <t xml:space="preserve">教育訓練操作手冊 </t>
    </r>
    <r>
      <rPr>
        <sz val="9"/>
        <color rgb="FF000000"/>
        <rFont val="Arial"/>
        <family val="0"/>
        <charset val="1"/>
      </rPr>
      <t xml:space="preserve">§2 </t>
    </r>
    <r>
      <rPr>
        <sz val="9"/>
        <color rgb="FF000000"/>
        <rFont val="Noto Sans CJK SC"/>
        <family val="2"/>
      </rPr>
      <t xml:space="preserve">另建議現場備品（未列入本 </t>
    </r>
    <r>
      <rPr>
        <sz val="9"/>
        <color rgb="FF000000"/>
        <rFont val="Arial"/>
        <family val="0"/>
        <charset val="1"/>
      </rPr>
      <t xml:space="preserve">BOM</t>
    </r>
    <r>
      <rPr>
        <sz val="9"/>
        <color rgb="FF000000"/>
        <rFont val="Noto Sans CJK SC"/>
        <family val="2"/>
      </rPr>
      <t xml:space="preserve">）：展場辨識圖卡 </t>
    </r>
    <r>
      <rPr>
        <sz val="9"/>
        <color rgb="FF000000"/>
        <rFont val="Arial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張、耳機或喇叭、擦拭布、行動電源。</t>
    </r>
  </si>
  <si>
    <r>
      <rPr>
        <b val="true"/>
        <sz val="14"/>
        <color rgb="FF000000"/>
        <rFont val="Noto Sans CJK SC"/>
        <family val="2"/>
      </rPr>
      <t xml:space="preserve">軟體 </t>
    </r>
    <r>
      <rPr>
        <b val="true"/>
        <sz val="14"/>
        <color rgb="FF000000"/>
        <rFont val="Arial"/>
        <family val="0"/>
        <charset val="1"/>
      </rPr>
      <t xml:space="preserve">BOM</t>
    </r>
    <r>
      <rPr>
        <b val="true"/>
        <sz val="14"/>
        <color rgb="FF000000"/>
        <rFont val="Noto Sans CJK SC"/>
        <family val="2"/>
      </rPr>
      <t xml:space="preserve">（依 </t>
    </r>
    <r>
      <rPr>
        <b val="true"/>
        <sz val="14"/>
        <color rgb="FF000000"/>
        <rFont val="Arial"/>
        <family val="0"/>
        <charset val="1"/>
      </rPr>
      <t xml:space="preserve">repo </t>
    </r>
    <r>
      <rPr>
        <b val="true"/>
        <sz val="14"/>
        <color rgb="FF000000"/>
        <rFont val="Noto Sans CJK SC"/>
        <family val="2"/>
      </rPr>
      <t xml:space="preserve">內容分類）</t>
    </r>
  </si>
  <si>
    <r>
      <rPr>
        <i val="true"/>
        <sz val="9"/>
        <color rgb="FF595959"/>
        <rFont val="Noto Sans CJK SC"/>
        <family val="2"/>
      </rPr>
      <t xml:space="preserve">檔案數與大小以公式從「檔案清單」依料號彙總；</t>
    </r>
    <r>
      <rPr>
        <i val="true"/>
        <sz val="9"/>
        <color rgb="FF595959"/>
        <rFont val="Arial"/>
        <family val="0"/>
        <charset val="1"/>
      </rPr>
      <t xml:space="preserve">Level 1 </t>
    </r>
    <r>
      <rPr>
        <i val="true"/>
        <sz val="9"/>
        <color rgb="FF595959"/>
        <rFont val="Noto Sans CJK SC"/>
        <family val="2"/>
      </rPr>
      <t xml:space="preserve">為群組小計。</t>
    </r>
  </si>
  <si>
    <t xml:space="preserve">名稱</t>
  </si>
  <si>
    <t xml:space="preserve">上階料號</t>
  </si>
  <si>
    <t xml:space="preserve">版本</t>
  </si>
  <si>
    <t xml:space="preserve">路徑範圍</t>
  </si>
  <si>
    <t xml:space="preserve">說明</t>
  </si>
  <si>
    <r>
      <rPr>
        <b val="true"/>
        <sz val="10"/>
        <color rgb="FF000000"/>
        <rFont val="Arial"/>
        <family val="0"/>
        <charset val="1"/>
      </rPr>
      <t xml:space="preserve">Android App</t>
    </r>
    <r>
      <rPr>
        <b val="true"/>
        <sz val="10"/>
        <color rgb="FF000000"/>
        <rFont val="Noto Sans CJK SC"/>
        <family val="2"/>
      </rPr>
      <t xml:space="preserve">「反詐</t>
    </r>
    <r>
      <rPr>
        <b val="true"/>
        <sz val="10"/>
        <color rgb="FF000000"/>
        <rFont val="Arial"/>
        <family val="0"/>
        <charset val="1"/>
      </rPr>
      <t xml:space="preserve">AR</t>
    </r>
    <r>
      <rPr>
        <b val="true"/>
        <sz val="10"/>
        <color rgb="FF000000"/>
        <rFont val="Noto Sans CJK SC"/>
        <family val="2"/>
      </rPr>
      <t xml:space="preserve">體驗」</t>
    </r>
    <r>
      <rPr>
        <b val="true"/>
        <sz val="10"/>
        <color rgb="FF000000"/>
        <rFont val="Arial"/>
        <family val="0"/>
        <charset val="1"/>
      </rPr>
      <t xml:space="preserve">APK Shell</t>
    </r>
  </si>
  <si>
    <t xml:space="preserve">android/</t>
  </si>
  <si>
    <r>
      <rPr>
        <b val="true"/>
        <sz val="10"/>
        <color rgb="FF000000"/>
        <rFont val="Arial"/>
        <family val="0"/>
        <charset val="1"/>
      </rPr>
      <t xml:space="preserve">Android </t>
    </r>
    <r>
      <rPr>
        <b val="true"/>
        <sz val="10"/>
        <color rgb="FF000000"/>
        <rFont val="Noto Sans CJK SC"/>
        <family val="2"/>
      </rPr>
      <t xml:space="preserve">原生外殼：</t>
    </r>
    <r>
      <rPr>
        <b val="true"/>
        <sz val="10"/>
        <color rgb="FF000000"/>
        <rFont val="Arial"/>
        <family val="0"/>
        <charset val="1"/>
      </rPr>
      <t xml:space="preserve">WebView</t>
    </r>
    <r>
      <rPr>
        <b val="true"/>
        <sz val="10"/>
        <color rgb="FF000000"/>
        <rFont val="Noto Sans CJK SC"/>
        <family val="2"/>
      </rPr>
      <t xml:space="preserve">、佐臻眼鏡 </t>
    </r>
    <r>
      <rPr>
        <b val="true"/>
        <sz val="10"/>
        <color rgb="FF000000"/>
        <rFont val="Arial"/>
        <family val="0"/>
        <charset val="1"/>
      </rPr>
      <t xml:space="preserve">RGB </t>
    </r>
    <r>
      <rPr>
        <b val="true"/>
        <sz val="10"/>
        <color rgb="FF000000"/>
        <rFont val="Noto Sans CJK SC"/>
        <family val="2"/>
      </rPr>
      <t xml:space="preserve">相機、</t>
    </r>
    <r>
      <rPr>
        <b val="true"/>
        <sz val="10"/>
        <color rgb="FF000000"/>
        <rFont val="Arial"/>
        <family val="0"/>
        <charset val="1"/>
      </rPr>
      <t xml:space="preserve">ToF </t>
    </r>
    <r>
      <rPr>
        <b val="true"/>
        <sz val="10"/>
        <color rgb="FF000000"/>
        <rFont val="Noto Sans CJK SC"/>
        <family val="2"/>
      </rPr>
      <t xml:space="preserve">手勢、</t>
    </r>
    <r>
      <rPr>
        <b val="true"/>
        <sz val="10"/>
        <color rgb="FF000000"/>
        <rFont val="Arial"/>
        <family val="0"/>
        <charset val="1"/>
      </rPr>
      <t xml:space="preserve">Native Bridge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OTA</t>
    </r>
    <r>
      <rPr>
        <b val="true"/>
        <sz val="10"/>
        <color rgb="FF000000"/>
        <rFont val="Noto Sans CJK SC"/>
        <family val="2"/>
      </rPr>
      <t xml:space="preserve">；</t>
    </r>
    <r>
      <rPr>
        <b val="true"/>
        <sz val="10"/>
        <color rgb="FF000000"/>
        <rFont val="Arial"/>
        <family val="0"/>
        <charset val="1"/>
      </rPr>
      <t xml:space="preserve">applicationId com.bigxreality.jorjinverifier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</si>
  <si>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主程式</t>
    </r>
  </si>
  <si>
    <r>
      <rPr>
        <sz val="10"/>
        <color rgb="FF000000"/>
        <rFont val="Arial"/>
        <family val="0"/>
        <charset val="1"/>
      </rPr>
      <t xml:space="preserve">android/app/src/main/java/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ota/ </t>
    </r>
    <r>
      <rPr>
        <sz val="10"/>
        <color rgb="FF000000"/>
        <rFont val="Noto Sans CJK SC"/>
        <family val="2"/>
      </rPr>
      <t xml:space="preserve">除外）</t>
    </r>
  </si>
  <si>
    <r>
      <rPr>
        <sz val="10"/>
        <color rgb="FF000000"/>
        <rFont val="Arial"/>
        <family val="0"/>
        <charset val="1"/>
      </rPr>
      <t xml:space="preserve">MainActivity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JorjinHardwareManager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TofGestureRecognizer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8×8 </t>
    </r>
    <r>
      <rPr>
        <sz val="10"/>
        <color rgb="FF000000"/>
        <rFont val="Noto Sans CJK SC"/>
        <family val="2"/>
      </rPr>
      <t xml:space="preserve">深度幀自算 </t>
    </r>
    <r>
      <rPr>
        <sz val="10"/>
        <color rgb="FF000000"/>
        <rFont val="Arial"/>
        <family val="0"/>
        <charset val="1"/>
      </rPr>
      <t xml:space="preserve">LEFT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RIGHT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GlassesCameraStream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MJPEG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GestureBridgeScript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ShellBridgeScript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OtaControlBridge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</si>
  <si>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Android OTA </t>
    </r>
    <r>
      <rPr>
        <sz val="10"/>
        <color rgb="FF000000"/>
        <rFont val="Noto Sans CJK SC"/>
        <family val="2"/>
      </rPr>
      <t xml:space="preserve">更新模組</t>
    </r>
  </si>
  <si>
    <t xml:space="preserve">android/app/src/main/java/…/ota/</t>
  </si>
  <si>
    <r>
      <rPr>
        <sz val="10"/>
        <color rgb="FF000000"/>
        <rFont val="Arial"/>
        <family val="0"/>
        <charset val="1"/>
      </rPr>
      <t xml:space="preserve">latest.json → bundle.zip → SHA-256 </t>
    </r>
    <r>
      <rPr>
        <sz val="10"/>
        <color rgb="FF000000"/>
        <rFont val="Noto Sans CJK SC"/>
        <family val="2"/>
      </rPr>
      <t xml:space="preserve">驗證 → </t>
    </r>
    <r>
      <rPr>
        <sz val="10"/>
        <color rgb="FF000000"/>
        <rFont val="Arial"/>
        <family val="0"/>
        <charset val="1"/>
      </rPr>
      <t xml:space="preserve">pending → </t>
    </r>
    <r>
      <rPr>
        <sz val="10"/>
        <color rgb="FF000000"/>
        <rFont val="Noto Sans CJK SC"/>
        <family val="2"/>
      </rPr>
      <t xml:space="preserve">下次啟動生效；</t>
    </r>
    <r>
      <rPr>
        <sz val="10"/>
        <color rgb="FF000000"/>
        <rFont val="Arial"/>
        <family val="0"/>
        <charset val="1"/>
      </rPr>
      <t xml:space="preserve">WebBundleStore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bundled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previous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pending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</si>
  <si>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資源與 </t>
    </r>
    <r>
      <rPr>
        <sz val="10"/>
        <color rgb="FF000000"/>
        <rFont val="Arial"/>
        <family val="0"/>
        <charset val="1"/>
      </rPr>
      <t xml:space="preserve">Manifest</t>
    </r>
  </si>
  <si>
    <r>
      <rPr>
        <sz val="10"/>
        <color rgb="FF000000"/>
        <rFont val="Arial"/>
        <family val="0"/>
        <charset val="1"/>
      </rPr>
      <t xml:space="preserve">android/app/src/main/res/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AndroidManifest.xml</t>
    </r>
  </si>
  <si>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圖示、版面、字串、</t>
    </r>
    <r>
      <rPr>
        <sz val="10"/>
        <color rgb="FF000000"/>
        <rFont val="Arial"/>
        <family val="0"/>
        <charset val="1"/>
      </rPr>
      <t xml:space="preserve">device_filter.xml</t>
    </r>
    <r>
      <rPr>
        <sz val="10"/>
        <color rgb="FF000000"/>
        <rFont val="Noto Sans CJK SC"/>
        <family val="2"/>
      </rPr>
      <t xml:space="preserve">（眼鏡 </t>
    </r>
    <r>
      <rPr>
        <sz val="10"/>
        <color rgb="FF000000"/>
        <rFont val="Arial"/>
        <family val="0"/>
        <charset val="1"/>
      </rPr>
      <t xml:space="preserve">USB </t>
    </r>
    <r>
      <rPr>
        <sz val="10"/>
        <color rgb="FF000000"/>
        <rFont val="Noto Sans CJK SC"/>
        <family val="2"/>
      </rPr>
      <t xml:space="preserve">裝置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</si>
  <si>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　佐臻 </t>
    </r>
    <r>
      <rPr>
        <sz val="10"/>
        <color rgb="FF000000"/>
        <rFont val="Arial"/>
        <family val="0"/>
        <charset val="1"/>
      </rPr>
      <t xml:space="preserve">JJSDK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jjsdk.aar</t>
    </r>
    <r>
      <rPr>
        <sz val="10"/>
        <color rgb="FF000000"/>
        <rFont val="Noto Sans CJK SC"/>
        <family val="2"/>
      </rPr>
      <t xml:space="preserve">）</t>
    </r>
  </si>
  <si>
    <t xml:space="preserve">android/app/libs/jjsdk.aar</t>
  </si>
  <si>
    <r>
      <rPr>
        <sz val="10"/>
        <color rgb="FF000000"/>
        <rFont val="Noto Sans CJK SC"/>
        <family val="2"/>
      </rPr>
      <t xml:space="preserve">佐臻原廠 </t>
    </r>
    <r>
      <rPr>
        <sz val="10"/>
        <color rgb="FF000000"/>
        <rFont val="Arial"/>
        <family val="0"/>
        <charset val="1"/>
      </rPr>
      <t xml:space="preserve">SDK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CameraManager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RGB </t>
    </r>
    <r>
      <rPr>
        <sz val="10"/>
        <color rgb="FF000000"/>
        <rFont val="Noto Sans CJK SC"/>
        <family val="2"/>
      </rPr>
      <t xml:space="preserve">相機 </t>
    </r>
    <r>
      <rPr>
        <sz val="10"/>
        <color rgb="FF000000"/>
        <rFont val="Arial"/>
        <family val="0"/>
        <charset val="1"/>
      </rPr>
      <t xml:space="preserve">UVC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TofManager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ToF CDC-ACM</t>
    </r>
    <r>
      <rPr>
        <sz val="10"/>
        <color rgb="FF000000"/>
        <rFont val="Noto Sans CJK SC"/>
        <family val="2"/>
      </rPr>
      <t xml:space="preserve">）；含 </t>
    </r>
    <r>
      <rPr>
        <sz val="10"/>
        <color rgb="FF000000"/>
        <rFont val="Arial"/>
        <family val="0"/>
        <charset val="1"/>
      </rPr>
      <t xml:space="preserve">arm64-v8a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armeabi-v7a libjjsdk.so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95847781…c0cdea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驗證）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</si>
  <si>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建置設定與簽章</t>
    </r>
  </si>
  <si>
    <r>
      <rPr>
        <sz val="10"/>
        <color rgb="FF000000"/>
        <rFont val="Arial"/>
        <family val="0"/>
        <charset val="1"/>
      </rPr>
      <t xml:space="preserve">android/*.gradle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gradle/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gradlew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proguard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keystore</t>
    </r>
  </si>
  <si>
    <r>
      <rPr>
        <sz val="10"/>
        <color rgb="FF000000"/>
        <rFont val="Arial"/>
        <family val="0"/>
        <charset val="1"/>
      </rPr>
      <t xml:space="preserve">compileSdk 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minSdk 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targetSdk 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JJSDK </t>
    </r>
    <r>
      <rPr>
        <sz val="10"/>
        <color rgb="FF000000"/>
        <rFont val="Noto Sans CJK SC"/>
        <family val="2"/>
      </rPr>
      <t xml:space="preserve">相容需求）；</t>
    </r>
    <r>
      <rPr>
        <sz val="10"/>
        <color rgb="FF000000"/>
        <rFont val="Arial"/>
        <family val="0"/>
        <charset val="1"/>
      </rPr>
      <t xml:space="preserve">buildCibarWebapp </t>
    </r>
    <r>
      <rPr>
        <sz val="10"/>
        <color rgb="FF000000"/>
        <rFont val="Noto Sans CJK SC"/>
        <family val="2"/>
      </rPr>
      <t xml:space="preserve">會把 </t>
    </r>
    <r>
      <rPr>
        <sz val="10"/>
        <color rgb="FF000000"/>
        <rFont val="Arial"/>
        <family val="0"/>
        <charset val="1"/>
      </rPr>
      <t xml:space="preserve">webapp/dist </t>
    </r>
    <r>
      <rPr>
        <sz val="10"/>
        <color rgb="FF000000"/>
        <rFont val="Noto Sans CJK SC"/>
        <family val="2"/>
      </rPr>
      <t xml:space="preserve">打包進 </t>
    </r>
    <r>
      <rPr>
        <sz val="10"/>
        <color rgb="FF000000"/>
        <rFont val="Arial"/>
        <family val="0"/>
        <charset val="1"/>
      </rPr>
      <t xml:space="preserve">APK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</si>
  <si>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單元測試與測試工具</t>
    </r>
  </si>
  <si>
    <r>
      <rPr>
        <sz val="10"/>
        <color rgb="FF000000"/>
        <rFont val="Arial"/>
        <family val="0"/>
        <charset val="1"/>
      </rPr>
      <t xml:space="preserve">android/app/src/test/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android/tools/</t>
    </r>
  </si>
  <si>
    <r>
      <rPr>
        <sz val="10"/>
        <color rgb="FF000000"/>
        <rFont val="Arial"/>
        <family val="0"/>
        <charset val="1"/>
      </rPr>
      <t xml:space="preserve">JVM </t>
    </r>
    <r>
      <rPr>
        <sz val="10"/>
        <color rgb="FF000000"/>
        <rFont val="Noto Sans CJK SC"/>
        <family val="2"/>
      </rPr>
      <t xml:space="preserve">單元測試（</t>
    </r>
    <r>
      <rPr>
        <sz val="10"/>
        <color rgb="FF000000"/>
        <rFont val="Arial"/>
        <family val="0"/>
        <charset val="1"/>
      </rPr>
      <t xml:space="preserve">ProductionStartupTest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AppIdentityTest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WebLayerControllerTest…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stub</t>
    </r>
  </si>
  <si>
    <r>
      <rPr>
        <sz val="10"/>
        <color rgb="FF000000"/>
        <rFont val="Noto Sans CJK SC"/>
        <family val="2"/>
      </rPr>
      <t xml:space="preserve">　佐臻原廠 </t>
    </r>
    <r>
      <rPr>
        <sz val="10"/>
        <color rgb="FF000000"/>
        <rFont val="Arial"/>
        <family val="0"/>
        <charset val="1"/>
      </rPr>
      <t xml:space="preserve">J-Reality-Gesture APK</t>
    </r>
    <r>
      <rPr>
        <sz val="10"/>
        <color rgb="FF000000"/>
        <rFont val="Noto Sans CJK SC"/>
        <family val="2"/>
      </rPr>
      <t xml:space="preserve">（參考用）</t>
    </r>
  </si>
  <si>
    <t xml:space="preserve">android/J-Reality-Gesture_v0.9.5.apk</t>
  </si>
  <si>
    <r>
      <rPr>
        <sz val="10"/>
        <color rgb="FF000000"/>
        <rFont val="Noto Sans CJK SC"/>
        <family val="2"/>
      </rPr>
      <t xml:space="preserve">僅作靜態比對 </t>
    </r>
    <r>
      <rPr>
        <sz val="10"/>
        <color rgb="FF000000"/>
        <rFont val="Arial"/>
        <family val="0"/>
        <charset val="1"/>
      </rPr>
      <t xml:space="preserve">ToF </t>
    </r>
    <r>
      <rPr>
        <sz val="10"/>
        <color rgb="FF000000"/>
        <rFont val="Noto Sans CJK SC"/>
        <family val="2"/>
      </rPr>
      <t xml:space="preserve">裝置描述子用；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執行時不啟動、不依賴此 </t>
    </r>
    <r>
      <rPr>
        <sz val="10"/>
        <color rgb="FF000000"/>
        <rFont val="Arial"/>
        <family val="0"/>
        <charset val="1"/>
      </rPr>
      <t xml:space="preserve">APK</t>
    </r>
  </si>
  <si>
    <r>
      <rPr>
        <b val="true"/>
        <sz val="10"/>
        <color rgb="FF000000"/>
        <rFont val="Arial"/>
        <family val="0"/>
        <charset val="1"/>
      </rPr>
      <t xml:space="preserve">CIBAR Web Bundle</t>
    </r>
    <r>
      <rPr>
        <b val="true"/>
        <sz val="10"/>
        <color rgb="FF000000"/>
        <rFont val="Noto Sans CJK SC"/>
        <family val="2"/>
      </rPr>
      <t xml:space="preserve">（體驗內容）</t>
    </r>
  </si>
  <si>
    <t xml:space="preserve">webapp/</t>
  </si>
  <si>
    <r>
      <rPr>
        <b val="true"/>
        <sz val="10"/>
        <color rgb="FF000000"/>
        <rFont val="Arial"/>
        <family val="0"/>
        <charset val="1"/>
      </rPr>
      <t xml:space="preserve">React 19 + Vite </t>
    </r>
    <r>
      <rPr>
        <b val="true"/>
        <sz val="10"/>
        <color rgb="FF000000"/>
        <rFont val="Noto Sans CJK SC"/>
        <family val="2"/>
      </rPr>
      <t xml:space="preserve">靜態產物；五個詐騙情境、模擬 </t>
    </r>
    <r>
      <rPr>
        <b val="true"/>
        <sz val="10"/>
        <color rgb="FF000000"/>
        <rFont val="Arial"/>
        <family val="0"/>
        <charset val="1"/>
      </rPr>
      <t xml:space="preserve">App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LINE</t>
    </r>
    <r>
      <rPr>
        <b val="true"/>
        <sz val="10"/>
        <color rgb="FF000000"/>
        <rFont val="Noto Sans CJK SC"/>
        <family val="2"/>
      </rPr>
      <t xml:space="preserve">、結算、反詐小測驗、三語（中／英／日）、</t>
    </r>
    <r>
      <rPr>
        <b val="true"/>
        <sz val="10"/>
        <color rgb="FF000000"/>
        <rFont val="Arial"/>
        <family val="0"/>
        <charset val="1"/>
      </rPr>
      <t xml:space="preserve">AR </t>
    </r>
    <r>
      <rPr>
        <b val="true"/>
        <sz val="10"/>
        <color rgb="FF000000"/>
        <rFont val="Noto Sans CJK SC"/>
        <family val="2"/>
      </rPr>
      <t xml:space="preserve">辨識與手勢</t>
    </r>
  </si>
  <si>
    <r>
      <rPr>
        <sz val="10"/>
        <color rgb="FF000000"/>
        <rFont val="Noto Sans CJK SC"/>
        <family val="2"/>
      </rPr>
      <t xml:space="preserve">　平台核心（進入點／路由／</t>
    </r>
    <r>
      <rPr>
        <sz val="10"/>
        <color rgb="FF000000"/>
        <rFont val="Arial"/>
        <family val="0"/>
        <charset val="1"/>
      </rPr>
      <t xml:space="preserve">Shell</t>
    </r>
    <r>
      <rPr>
        <sz val="10"/>
        <color rgb="FF000000"/>
        <rFont val="Noto Sans CJK SC"/>
        <family val="2"/>
      </rPr>
      <t xml:space="preserve">／共用函式庫）</t>
    </r>
  </si>
  <si>
    <r>
      <rPr>
        <sz val="10"/>
        <color rgb="FF000000"/>
        <rFont val="Arial"/>
        <family val="0"/>
        <charset val="1"/>
      </rPr>
      <t xml:space="preserve">webapp/src/App.jsx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main.jsx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routes.jsx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shell/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lib/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styles/global.css</t>
    </r>
  </si>
  <si>
    <r>
      <rPr>
        <sz val="10"/>
        <color rgb="FF000000"/>
        <rFont val="Arial"/>
        <family val="0"/>
        <charset val="1"/>
      </rPr>
      <t xml:space="preserve">HashRouter </t>
    </r>
    <r>
      <rPr>
        <sz val="10"/>
        <color rgb="FF000000"/>
        <rFont val="Noto Sans CJK SC"/>
        <family val="2"/>
      </rPr>
      <t xml:space="preserve">路由、舞台縮放、對話樹、媒體自動播放、</t>
    </r>
    <r>
      <rPr>
        <sz val="10"/>
        <color rgb="FF000000"/>
        <rFont val="Arial"/>
        <family val="0"/>
        <charset val="1"/>
      </rPr>
      <t xml:space="preserve">session </t>
    </r>
    <r>
      <rPr>
        <sz val="10"/>
        <color rgb="FF000000"/>
        <rFont val="Noto Sans CJK SC"/>
        <family val="2"/>
      </rPr>
      <t xml:space="preserve">重置等共用邏輯</t>
    </r>
  </si>
  <si>
    <t xml:space="preserve">　入口流程與工作人員管理模式</t>
  </si>
  <si>
    <r>
      <rPr>
        <sz val="10"/>
        <color rgb="FF000000"/>
        <rFont val="Arial"/>
        <family val="0"/>
        <charset val="1"/>
      </rPr>
      <t xml:space="preserve">webapp/src/pages/</t>
    </r>
    <r>
      <rPr>
        <sz val="10"/>
        <color rgb="FF000000"/>
        <rFont val="Noto Sans CJK SC"/>
        <family val="2"/>
      </rPr>
      <t xml:space="preserve">（語言選擇、情境選單、</t>
    </r>
    <r>
      <rPr>
        <sz val="10"/>
        <color rgb="FF000000"/>
        <rFont val="Arial"/>
        <family val="0"/>
        <charset val="1"/>
      </rPr>
      <t xml:space="preserve">opening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staff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lib/ota/</t>
    </r>
  </si>
  <si>
    <r>
      <rPr>
        <sz val="10"/>
        <color rgb="FF000000"/>
        <rFont val="Noto Sans CJK SC"/>
        <family val="2"/>
      </rPr>
      <t xml:space="preserve">開場動畫、語言選擇、情境選單、工作人員模式（所在地設定、系統版本與 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更新）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</si>
  <si>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影像辨識與相機來源</t>
    </r>
  </si>
  <si>
    <r>
      <rPr>
        <sz val="10"/>
        <color rgb="FF000000"/>
        <rFont val="Arial"/>
        <family val="0"/>
        <charset val="1"/>
      </rPr>
      <t xml:space="preserve">webapp/src/lib/ar/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pages/arScan/</t>
    </r>
  </si>
  <si>
    <r>
      <rPr>
        <sz val="10"/>
        <color rgb="FF000000"/>
        <rFont val="Arial"/>
        <family val="0"/>
        <charset val="1"/>
      </rPr>
      <t xml:space="preserve">mind-ar </t>
    </r>
    <r>
      <rPr>
        <sz val="10"/>
        <color rgb="FF000000"/>
        <rFont val="Noto Sans CJK SC"/>
        <family val="2"/>
      </rPr>
      <t xml:space="preserve">圖卡辨識（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張 </t>
    </r>
    <r>
      <rPr>
        <sz val="10"/>
        <color rgb="FF000000"/>
        <rFont val="Arial"/>
        <family val="0"/>
        <charset val="1"/>
      </rPr>
      <t xml:space="preserve">target</t>
    </r>
    <r>
      <rPr>
        <sz val="10"/>
        <color rgb="FF000000"/>
        <rFont val="Noto Sans CJK SC"/>
        <family val="2"/>
      </rPr>
      <t xml:space="preserve">）、眼鏡 </t>
    </r>
    <r>
      <rPr>
        <sz val="10"/>
        <color rgb="FF000000"/>
        <rFont val="Arial"/>
        <family val="0"/>
        <charset val="1"/>
      </rPr>
      <t xml:space="preserve">MJPEG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getUserMedia </t>
    </r>
    <r>
      <rPr>
        <sz val="10"/>
        <color rgb="FF000000"/>
        <rFont val="Noto Sans CJK SC"/>
        <family val="2"/>
      </rPr>
      <t xml:space="preserve">相機來源、</t>
    </r>
    <r>
      <rPr>
        <sz val="10"/>
        <color rgb="FF000000"/>
        <rFont val="Arial"/>
        <family val="0"/>
        <charset val="1"/>
      </rPr>
      <t xml:space="preserve">target lock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</si>
  <si>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手勢互動</t>
    </r>
  </si>
  <si>
    <r>
      <rPr>
        <sz val="10"/>
        <color rgb="FF000000"/>
        <rFont val="Arial"/>
        <family val="0"/>
        <charset val="1"/>
      </rPr>
      <t xml:space="preserve">webapp/src/lib/arInteraction/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components/{native,hints,debug}/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pages/gestureTutorial/</t>
    </r>
  </si>
  <si>
    <r>
      <rPr>
        <sz val="10"/>
        <color rgb="FF000000"/>
        <rFont val="Arial"/>
        <family val="0"/>
        <charset val="1"/>
      </rPr>
      <t xml:space="preserve">AR Interaction Contract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Gesture Bridge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jorjinGesture Native Adapter</t>
    </r>
    <r>
      <rPr>
        <sz val="10"/>
        <color rgb="FF000000"/>
        <rFont val="Noto Sans CJK SC"/>
        <family val="2"/>
      </rPr>
      <t xml:space="preserve">、手勢教學頁、互動提示</t>
    </r>
  </si>
  <si>
    <t xml:space="preserve">　共用體驗元件</t>
  </si>
  <si>
    <r>
      <rPr>
        <sz val="10"/>
        <color rgb="FF000000"/>
        <rFont val="Arial"/>
        <family val="0"/>
        <charset val="1"/>
      </rPr>
      <t xml:space="preserve">webapp/src/components/{ui,outcome,warnings}/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experience/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shared/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lib/location/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data/{location,warnings}/</t>
    </r>
  </si>
  <si>
    <t xml:space="preserve">情境結算、詐騙疑點分析、防詐警示、角色系統、所在地／警政機關、手機桌面、共用翻譯機制</t>
  </si>
  <si>
    <r>
      <rPr>
        <sz val="10"/>
        <color rgb="FF000000"/>
        <rFont val="Noto Sans CJK SC"/>
        <family val="2"/>
      </rPr>
      <t xml:space="preserve">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GuGo Invest </t>
    </r>
    <r>
      <rPr>
        <sz val="10"/>
        <color rgb="FF000000"/>
        <rFont val="Noto Sans CJK SC"/>
        <family val="2"/>
      </rPr>
      <t xml:space="preserve">股購投資</t>
    </r>
  </si>
  <si>
    <t xml:space="preserve">webapp/src/apps/gugo-invest/</t>
  </si>
  <si>
    <r>
      <rPr>
        <sz val="10"/>
        <color rgb="FF000000"/>
        <rFont val="Arial"/>
        <family val="0"/>
        <charset val="1"/>
      </rPr>
      <t xml:space="preserve">Scenario 01 </t>
    </r>
    <r>
      <rPr>
        <sz val="10"/>
        <color rgb="FF000000"/>
        <rFont val="Noto Sans CJK SC"/>
        <family val="2"/>
      </rPr>
      <t xml:space="preserve">使用</t>
    </r>
  </si>
  <si>
    <r>
      <rPr>
        <sz val="10"/>
        <color rgb="FF000000"/>
        <rFont val="Noto Sans CJK SC"/>
        <family val="2"/>
      </rPr>
      <t xml:space="preserve">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MeetU </t>
    </r>
    <r>
      <rPr>
        <sz val="10"/>
        <color rgb="FF000000"/>
        <rFont val="Noto Sans CJK SC"/>
        <family val="2"/>
      </rPr>
      <t xml:space="preserve">覓友</t>
    </r>
  </si>
  <si>
    <t xml:space="preserve">webapp/src/apps/meetu/</t>
  </si>
  <si>
    <r>
      <rPr>
        <sz val="10"/>
        <color rgb="FF000000"/>
        <rFont val="Arial"/>
        <family val="0"/>
        <charset val="1"/>
      </rPr>
      <t xml:space="preserve">Scenario 02 </t>
    </r>
    <r>
      <rPr>
        <sz val="10"/>
        <color rgb="FF000000"/>
        <rFont val="Noto Sans CJK SC"/>
        <family val="2"/>
      </rPr>
      <t xml:space="preserve">使用</t>
    </r>
  </si>
  <si>
    <r>
      <rPr>
        <sz val="10"/>
        <color rgb="FF000000"/>
        <rFont val="Noto Sans CJK SC"/>
        <family val="2"/>
      </rPr>
      <t xml:space="preserve">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：幣勝客 </t>
    </r>
    <r>
      <rPr>
        <sz val="10"/>
        <color rgb="FF000000"/>
        <rFont val="Arial"/>
        <family val="0"/>
        <charset val="1"/>
      </rPr>
      <t xml:space="preserve">Coin Winner</t>
    </r>
  </si>
  <si>
    <t xml:space="preserve">webapp/src/apps/coin-winner/</t>
  </si>
  <si>
    <r>
      <rPr>
        <sz val="10"/>
        <color rgb="FF000000"/>
        <rFont val="Noto Sans CJK SC"/>
        <family val="2"/>
      </rPr>
      <t xml:space="preserve">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LINE </t>
    </r>
    <r>
      <rPr>
        <sz val="10"/>
        <color rgb="FF000000"/>
        <rFont val="Noto Sans CJK SC"/>
        <family val="2"/>
      </rPr>
      <t xml:space="preserve">對話外殼</t>
    </r>
  </si>
  <si>
    <t xml:space="preserve">webapp/src/apps/line/</t>
  </si>
  <si>
    <t xml:space="preserve">多個情境共用</t>
  </si>
  <si>
    <r>
      <rPr>
        <sz val="10"/>
        <color rgb="FF000000"/>
        <rFont val="Noto Sans CJK SC"/>
        <family val="2"/>
      </rPr>
      <t xml:space="preserve">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：黑皮購物 </t>
    </r>
    <r>
      <rPr>
        <sz val="10"/>
        <color rgb="FF000000"/>
        <rFont val="Arial"/>
        <family val="0"/>
        <charset val="1"/>
      </rPr>
      <t xml:space="preserve">BlackPi</t>
    </r>
  </si>
  <si>
    <t xml:space="preserve">webapp/src/apps/blackpi/</t>
  </si>
  <si>
    <r>
      <rPr>
        <sz val="10"/>
        <color rgb="FF000000"/>
        <rFont val="Arial"/>
        <family val="0"/>
        <charset val="1"/>
      </rPr>
      <t xml:space="preserve">Scenario 04 </t>
    </r>
    <r>
      <rPr>
        <sz val="10"/>
        <color rgb="FF000000"/>
        <rFont val="Noto Sans CJK SC"/>
        <family val="2"/>
      </rPr>
      <t xml:space="preserve">使用</t>
    </r>
  </si>
  <si>
    <r>
      <rPr>
        <sz val="10"/>
        <color rgb="FF000000"/>
        <rFont val="Noto Sans CJK SC"/>
        <family val="2"/>
      </rPr>
      <t xml:space="preserve">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：黑皮通 </t>
    </r>
    <r>
      <rPr>
        <sz val="10"/>
        <color rgb="FF000000"/>
        <rFont val="Arial"/>
        <family val="0"/>
        <charset val="1"/>
      </rPr>
      <t xml:space="preserve">HPE Logistics</t>
    </r>
  </si>
  <si>
    <t xml:space="preserve">webapp/src/apps/hpe-logistics/</t>
  </si>
  <si>
    <r>
      <rPr>
        <sz val="10"/>
        <color rgb="FF000000"/>
        <rFont val="Arial"/>
        <family val="0"/>
        <charset val="1"/>
      </rPr>
      <t xml:space="preserve">Scenario 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 </t>
    </r>
    <r>
      <rPr>
        <sz val="10"/>
        <color rgb="FF000000"/>
        <rFont val="Noto Sans CJK SC"/>
        <family val="2"/>
      </rPr>
      <t xml:space="preserve">使用</t>
    </r>
  </si>
  <si>
    <r>
      <rPr>
        <sz val="10"/>
        <color rgb="FF000000"/>
        <rFont val="Noto Sans CJK SC"/>
        <family val="2"/>
      </rPr>
      <t xml:space="preserve">　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：買東東 </t>
    </r>
    <r>
      <rPr>
        <sz val="10"/>
        <color rgb="FF000000"/>
        <rFont val="Arial"/>
        <family val="0"/>
        <charset val="1"/>
      </rPr>
      <t xml:space="preserve">MyDonDon</t>
    </r>
    <r>
      <rPr>
        <sz val="10"/>
        <color rgb="FF000000"/>
        <rFont val="Noto Sans CJK SC"/>
        <family val="2"/>
      </rPr>
      <t xml:space="preserve">（二手交易平台）</t>
    </r>
  </si>
  <si>
    <t xml:space="preserve">webapp/src/apps/mydondon/</t>
  </si>
  <si>
    <r>
      <rPr>
        <sz val="10"/>
        <color rgb="FF000000"/>
        <rFont val="Arial"/>
        <family val="0"/>
        <charset val="1"/>
      </rPr>
      <t xml:space="preserve">Scenario 05 </t>
    </r>
    <r>
      <rPr>
        <sz val="10"/>
        <color rgb="FF000000"/>
        <rFont val="Noto Sans CJK SC"/>
        <family val="2"/>
      </rPr>
      <t xml:space="preserve">使用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</si>
  <si>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Scenario 01 </t>
    </r>
    <r>
      <rPr>
        <sz val="10"/>
        <color rgb="FF000000"/>
        <rFont val="Noto Sans CJK SC"/>
        <family val="2"/>
      </rPr>
      <t xml:space="preserve">財富陷阱／假投資詐騙</t>
    </r>
  </si>
  <si>
    <r>
      <rPr>
        <sz val="10"/>
        <color rgb="FF000000"/>
        <rFont val="Arial"/>
        <family val="0"/>
        <charset val="1"/>
      </rPr>
      <t xml:space="preserve">pages/scenario01/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lib/scenario01*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styles/scenario01.css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assets/scenarios/scenario-01/</t>
    </r>
  </si>
  <si>
    <r>
      <rPr>
        <sz val="10"/>
        <color rgb="FF000000"/>
        <rFont val="Noto Sans CJK SC"/>
        <family val="2"/>
      </rPr>
      <t xml:space="preserve">情境劇情、畫面與影片／圖片素材；路由 </t>
    </r>
    <r>
      <rPr>
        <sz val="10"/>
        <color rgb="FF000000"/>
        <rFont val="Arial"/>
        <family val="0"/>
        <charset val="1"/>
      </rPr>
      <t xml:space="preserve">scenario01-investment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</si>
  <si>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Scenario 02 </t>
    </r>
    <r>
      <rPr>
        <sz val="10"/>
        <color rgb="FF000000"/>
        <rFont val="Noto Sans CJK SC"/>
        <family val="2"/>
      </rPr>
      <t xml:space="preserve">戀愛劇本／假交友詐騙</t>
    </r>
  </si>
  <si>
    <r>
      <rPr>
        <sz val="10"/>
        <color rgb="FF000000"/>
        <rFont val="Arial"/>
        <family val="0"/>
        <charset val="1"/>
      </rPr>
      <t xml:space="preserve">pages/scenario02/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lib/scenario02*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shared/i18n/scenario02*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styles/scenario02.css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assets/scenarios/scenario-02/</t>
    </r>
  </si>
  <si>
    <r>
      <rPr>
        <sz val="10"/>
        <color rgb="FF000000"/>
        <rFont val="Noto Sans CJK SC"/>
        <family val="2"/>
      </rPr>
      <t xml:space="preserve">情境劇情、畫面與素材；路由 </t>
    </r>
    <r>
      <rPr>
        <sz val="10"/>
        <color rgb="FF000000"/>
        <rFont val="Arial"/>
        <family val="0"/>
        <charset val="1"/>
      </rPr>
      <t xml:space="preserve">scenario02-romance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</si>
  <si>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Scenario 03 </t>
    </r>
    <r>
      <rPr>
        <sz val="10"/>
        <color rgb="FF000000"/>
        <rFont val="Noto Sans CJK SC"/>
        <family val="2"/>
      </rPr>
      <t xml:space="preserve">權威陷阱／假檢警詐騙</t>
    </r>
  </si>
  <si>
    <r>
      <rPr>
        <sz val="10"/>
        <color rgb="FF000000"/>
        <rFont val="Arial"/>
        <family val="0"/>
        <charset val="1"/>
      </rPr>
      <t xml:space="preserve">pages/scenario03/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lib/scenario03*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data/scenario03*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styles/scenario03.css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assets/scenarios/scenario-03/</t>
    </r>
  </si>
  <si>
    <r>
      <rPr>
        <sz val="10"/>
        <color rgb="FF000000"/>
        <rFont val="Noto Sans CJK SC"/>
        <family val="2"/>
      </rPr>
      <t xml:space="preserve">情境劇情、假檢警通話語音（</t>
    </r>
    <r>
      <rPr>
        <sz val="10"/>
        <color rgb="FF000000"/>
        <rFont val="Arial"/>
        <family val="0"/>
        <charset val="1"/>
      </rPr>
      <t xml:space="preserve">police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prosecutor </t>
    </r>
    <r>
      <rPr>
        <sz val="10"/>
        <color rgb="FF000000"/>
        <rFont val="Noto Sans CJK SC"/>
        <family val="2"/>
      </rPr>
      <t xml:space="preserve">音檔）；路由 </t>
    </r>
    <r>
      <rPr>
        <sz val="10"/>
        <color rgb="FF000000"/>
        <rFont val="Arial"/>
        <family val="0"/>
        <charset val="1"/>
      </rPr>
      <t xml:space="preserve">scenario03-police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</si>
  <si>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Scenario 04 </t>
    </r>
    <r>
      <rPr>
        <sz val="10"/>
        <color rgb="FF000000"/>
        <rFont val="Noto Sans CJK SC"/>
        <family val="2"/>
      </rPr>
      <t xml:space="preserve">黑箱包裹／假賣家詐騙</t>
    </r>
  </si>
  <si>
    <r>
      <rPr>
        <sz val="10"/>
        <color rgb="FF000000"/>
        <rFont val="Arial"/>
        <family val="0"/>
        <charset val="1"/>
      </rPr>
      <t xml:space="preserve">pages/scenario04/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features/shopping/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data/dialogueTrees/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lib/shoppingStore.js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shared/i18n/scenario04*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assets/scenarios/scenario-04/</t>
    </r>
  </si>
  <si>
    <r>
      <rPr>
        <sz val="10"/>
        <color rgb="FF000000"/>
        <rFont val="Noto Sans CJK SC"/>
        <family val="2"/>
      </rPr>
      <t xml:space="preserve">黑皮購物完整購物流程、對話樹、商品圖；路由 </t>
    </r>
    <r>
      <rPr>
        <sz val="10"/>
        <color rgb="FF000000"/>
        <rFont val="Arial"/>
        <family val="0"/>
        <charset val="1"/>
      </rPr>
      <t xml:space="preserve">scenario04-shopping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</si>
  <si>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Scenario 05 </t>
    </r>
    <r>
      <rPr>
        <sz val="10"/>
        <color rgb="FF000000"/>
        <rFont val="Noto Sans CJK SC"/>
        <family val="2"/>
      </rPr>
      <t xml:space="preserve">幽靈訂單／假買家詐騙</t>
    </r>
  </si>
  <si>
    <r>
      <rPr>
        <sz val="10"/>
        <color rgb="FF000000"/>
        <rFont val="Arial"/>
        <family val="0"/>
        <charset val="1"/>
      </rPr>
      <t xml:space="preserve">pages/scenario05/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features/ghostorder/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data/scenario05*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lib/scenario05*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shared/i18n/scenario05*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assets/scenarios/scenario-05/</t>
    </r>
  </si>
  <si>
    <r>
      <rPr>
        <sz val="10"/>
        <color rgb="FF000000"/>
        <rFont val="Noto Sans CJK SC"/>
        <family val="2"/>
      </rPr>
      <t xml:space="preserve">假買家情境劇情與素材；路由 </t>
    </r>
    <r>
      <rPr>
        <sz val="10"/>
        <color rgb="FF000000"/>
        <rFont val="Arial"/>
        <family val="0"/>
        <charset val="1"/>
      </rPr>
      <t xml:space="preserve">scenario05-atm</t>
    </r>
    <r>
      <rPr>
        <sz val="10"/>
        <color rgb="FF000000"/>
        <rFont val="Noto Sans CJK SC"/>
        <family val="2"/>
      </rPr>
      <t xml:space="preserve">（沿用舊名）</t>
    </r>
  </si>
  <si>
    <t xml:space="preserve">　共用多媒體素材</t>
  </si>
  <si>
    <r>
      <rPr>
        <sz val="10"/>
        <color rgb="FF000000"/>
        <rFont val="Arial"/>
        <family val="0"/>
        <charset val="1"/>
      </rPr>
      <t xml:space="preserve">webapp/public/assets/shared/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除外）</t>
    </r>
  </si>
  <si>
    <r>
      <rPr>
        <sz val="10"/>
        <color rgb="FF000000"/>
        <rFont val="Noto Sans CJK SC"/>
        <family val="2"/>
      </rPr>
      <t xml:space="preserve">角色頭像、共用 </t>
    </r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Noto Sans CJK SC"/>
        <family val="2"/>
      </rPr>
      <t xml:space="preserve">圖片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</si>
  <si>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辨識圖卡資料集</t>
    </r>
  </si>
  <si>
    <t xml:space="preserve">webapp/public/assets/shared/ar/</t>
  </si>
  <si>
    <r>
      <rPr>
        <sz val="10"/>
        <color rgb="FF000000"/>
        <rFont val="Arial"/>
        <family val="0"/>
        <charset val="1"/>
      </rPr>
      <t xml:space="preserve">image-targets.mind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張圖卡，</t>
    </r>
    <r>
      <rPr>
        <sz val="10"/>
        <color rgb="FF000000"/>
        <rFont val="Arial"/>
        <family val="0"/>
        <charset val="1"/>
      </rPr>
      <t xml:space="preserve">index 0–4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Scenario 01–05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manifest</t>
    </r>
  </si>
  <si>
    <t xml:space="preserve">　地區與司法警政機關資料</t>
  </si>
  <si>
    <t xml:space="preserve">webapp/public/data/</t>
  </si>
  <si>
    <r>
      <rPr>
        <sz val="10"/>
        <color rgb="FF000000"/>
        <rFont val="Arial"/>
        <family val="0"/>
        <charset val="1"/>
      </rPr>
      <t xml:space="preserve">taiwan-regions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police-agencies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prosecutors-offices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district-courts JSON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</si>
  <si>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PWA </t>
    </r>
    <r>
      <rPr>
        <sz val="10"/>
        <color rgb="FF000000"/>
        <rFont val="Noto Sans CJK SC"/>
        <family val="2"/>
      </rPr>
      <t xml:space="preserve">外殼（</t>
    </r>
    <r>
      <rPr>
        <sz val="10"/>
        <color rgb="FF000000"/>
        <rFont val="Arial"/>
        <family val="0"/>
        <charset val="1"/>
      </rPr>
      <t xml:space="preserve">index.html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manifest</t>
    </r>
    <r>
      <rPr>
        <sz val="10"/>
        <color rgb="FF000000"/>
        <rFont val="Noto Sans CJK SC"/>
        <family val="2"/>
      </rPr>
      <t xml:space="preserve">／圖示／</t>
    </r>
    <r>
      <rPr>
        <sz val="10"/>
        <color rgb="FF000000"/>
        <rFont val="Arial"/>
        <family val="0"/>
        <charset val="1"/>
      </rPr>
      <t xml:space="preserve">Service Worker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</si>
  <si>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webapp/index.html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webapp/public/{icons,manifest.json,sw.js}</t>
    </r>
  </si>
  <si>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名稱「反詐</t>
    </r>
    <r>
      <rPr>
        <sz val="10"/>
        <color rgb="FF000000"/>
        <rFont val="Arial"/>
        <family val="0"/>
        <charset val="1"/>
      </rPr>
      <t xml:space="preserve">AR</t>
    </r>
    <r>
      <rPr>
        <sz val="10"/>
        <color rgb="FF000000"/>
        <rFont val="Noto Sans CJK SC"/>
        <family val="2"/>
      </rPr>
      <t xml:space="preserve">體驗」、</t>
    </r>
    <r>
      <rPr>
        <sz val="10"/>
        <color rgb="FF000000"/>
        <rFont val="Arial"/>
        <family val="0"/>
        <charset val="1"/>
      </rPr>
      <t xml:space="preserve">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maskable </t>
    </r>
    <r>
      <rPr>
        <sz val="10"/>
        <color rgb="FF000000"/>
        <rFont val="Noto Sans CJK SC"/>
        <family val="2"/>
      </rPr>
      <t xml:space="preserve">圖示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</si>
  <si>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建置設定</t>
    </r>
  </si>
  <si>
    <r>
      <rPr>
        <sz val="10"/>
        <color rgb="FF000000"/>
        <rFont val="Arial"/>
        <family val="0"/>
        <charset val="1"/>
      </rPr>
      <t xml:space="preserve">webapp/package.json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package-lock.json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vite.config.js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.oxlintrc.json</t>
    </r>
  </si>
  <si>
    <r>
      <rPr>
        <sz val="10"/>
        <color rgb="FF000000"/>
        <rFont val="Arial"/>
        <family val="0"/>
        <charset val="1"/>
      </rPr>
      <t xml:space="preserve">Vite base /ScamAware-AR/</t>
    </r>
    <r>
      <rPr>
        <sz val="10"/>
        <color rgb="FF000000"/>
        <rFont val="Noto Sans CJK SC"/>
        <family val="2"/>
      </rPr>
      <t xml:space="preserve">；版本資訊由 </t>
    </r>
    <r>
      <rPr>
        <sz val="10"/>
        <color rgb="FF000000"/>
        <rFont val="Arial"/>
        <family val="0"/>
        <charset val="1"/>
      </rPr>
      <t xml:space="preserve">release/versions.json </t>
    </r>
    <r>
      <rPr>
        <sz val="10"/>
        <color rgb="FF000000"/>
        <rFont val="Noto Sans CJK SC"/>
        <family val="2"/>
      </rPr>
      <t xml:space="preserve">注入</t>
    </r>
  </si>
  <si>
    <t xml:space="preserve">開發、測試與發布工具</t>
  </si>
  <si>
    <r>
      <rPr>
        <b val="true"/>
        <sz val="10"/>
        <color rgb="FF000000"/>
        <rFont val="Arial"/>
        <family val="0"/>
        <charset val="1"/>
      </rPr>
      <t xml:space="preserve">.github/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release/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webapp/scripts/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webapp/asset-sources/</t>
    </r>
    <r>
      <rPr>
        <b val="true"/>
        <sz val="10"/>
        <color rgb="FF000000"/>
        <rFont val="Noto Sans CJK SC"/>
        <family val="2"/>
      </rPr>
      <t xml:space="preserve">、根目錄建置產物</t>
    </r>
  </si>
  <si>
    <r>
      <rPr>
        <b val="true"/>
        <sz val="10"/>
        <color rgb="FF000000"/>
        <rFont val="Noto Sans CJK SC"/>
        <family val="2"/>
      </rPr>
      <t xml:space="preserve">不隨產品出貨；用於驗證、建置、</t>
    </r>
    <r>
      <rPr>
        <b val="true"/>
        <sz val="10"/>
        <color rgb="FF000000"/>
        <rFont val="Arial"/>
        <family val="0"/>
        <charset val="1"/>
      </rPr>
      <t xml:space="preserve">OTA </t>
    </r>
    <r>
      <rPr>
        <b val="true"/>
        <sz val="10"/>
        <color rgb="FF000000"/>
        <rFont val="Noto Sans CJK SC"/>
        <family val="2"/>
      </rPr>
      <t xml:space="preserve">發布與開發預覽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</si>
  <si>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驗證與測試腳本</t>
    </r>
  </si>
  <si>
    <t xml:space="preserve">webapp/scripts/</t>
  </si>
  <si>
    <r>
      <rPr>
        <sz val="10"/>
        <color rgb="FF000000"/>
        <rFont val="Arial"/>
        <family val="0"/>
        <charset val="1"/>
      </rPr>
      <t xml:space="preserve">validate:* </t>
    </r>
    <r>
      <rPr>
        <sz val="10"/>
        <color rgb="FF000000"/>
        <rFont val="Noto Sans CJK SC"/>
        <family val="2"/>
      </rPr>
      <t xml:space="preserve">架構邊界檢查、</t>
    </r>
    <r>
      <rPr>
        <sz val="10"/>
        <color rgb="FF000000"/>
        <rFont val="Arial"/>
        <family val="0"/>
        <charset val="1"/>
      </rPr>
      <t xml:space="preserve">test:* </t>
    </r>
    <r>
      <rPr>
        <sz val="10"/>
        <color rgb="FF000000"/>
        <rFont val="Noto Sans CJK SC"/>
        <family val="2"/>
      </rPr>
      <t xml:space="preserve">單元／流程測試、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打包、禁網資產稽核</t>
    </r>
  </si>
  <si>
    <t xml:space="preserve">　素材原始檔</t>
  </si>
  <si>
    <t xml:space="preserve">webapp/asset-sources/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</si>
  <si>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張 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辨識圖卡原圖（</t>
    </r>
    <r>
      <rPr>
        <sz val="10"/>
        <color rgb="FF000000"/>
        <rFont val="Arial"/>
        <family val="0"/>
        <charset val="1"/>
      </rPr>
      <t xml:space="preserve">scenario1–5.png</t>
    </r>
    <r>
      <rPr>
        <sz val="10"/>
        <color rgb="FF000000"/>
        <rFont val="Noto Sans CJK SC"/>
        <family val="2"/>
      </rPr>
      <t xml:space="preserve">，展場印製用）、</t>
    </r>
    <r>
      <rPr>
        <sz val="10"/>
        <color rgb="FF000000"/>
        <rFont val="Arial"/>
        <family val="0"/>
        <charset val="1"/>
      </rPr>
      <t xml:space="preserve">App </t>
    </r>
    <r>
      <rPr>
        <sz val="10"/>
        <color rgb="FF000000"/>
        <rFont val="Noto Sans CJK SC"/>
        <family val="2"/>
      </rPr>
      <t xml:space="preserve">圖示原始檔、商品圖原始檔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</si>
  <si>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CI/CD </t>
    </r>
    <r>
      <rPr>
        <sz val="10"/>
        <color rgb="FF000000"/>
        <rFont val="Noto Sans CJK SC"/>
        <family val="2"/>
      </rPr>
      <t xml:space="preserve">工作流程</t>
    </r>
  </si>
  <si>
    <t xml:space="preserve">.github/workflows/</t>
  </si>
  <si>
    <r>
      <rPr>
        <sz val="10"/>
        <color rgb="FF000000"/>
        <rFont val="Arial"/>
        <family val="0"/>
        <charset val="1"/>
      </rPr>
      <t xml:space="preserve">build-android.yml</t>
    </r>
    <r>
      <rPr>
        <sz val="10"/>
        <color rgb="FF000000"/>
        <rFont val="Noto Sans CJK SC"/>
        <family val="2"/>
      </rPr>
      <t xml:space="preserve">（建 </t>
    </r>
    <r>
      <rPr>
        <sz val="10"/>
        <color rgb="FF000000"/>
        <rFont val="Arial"/>
        <family val="0"/>
        <charset val="1"/>
      </rPr>
      <t xml:space="preserve">APK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deploy-pages.yml</t>
    </r>
    <r>
      <rPr>
        <sz val="10"/>
        <color rgb="FF000000"/>
        <rFont val="Noto Sans CJK SC"/>
        <family val="2"/>
      </rPr>
      <t xml:space="preserve">（預覽站台）、</t>
    </r>
    <r>
      <rPr>
        <sz val="10"/>
        <color rgb="FF000000"/>
        <rFont val="Arial"/>
        <family val="0"/>
        <charset val="1"/>
      </rPr>
      <t xml:space="preserve">ota-release.yml</t>
    </r>
    <r>
      <rPr>
        <sz val="10"/>
        <color rgb="FF000000"/>
        <rFont val="Noto Sans CJK SC"/>
        <family val="2"/>
      </rPr>
      <t xml:space="preserve">（正式 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發布＋版本遞增檢查）</t>
    </r>
  </si>
  <si>
    <r>
      <rPr>
        <sz val="10"/>
        <color rgb="FF000000"/>
        <rFont val="Noto Sans CJK SC"/>
        <family val="2"/>
      </rPr>
      <t xml:space="preserve">　版本與 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發布紀錄</t>
    </r>
  </si>
  <si>
    <r>
      <rPr>
        <sz val="10"/>
        <color rgb="FF000000"/>
        <rFont val="Arial"/>
        <family val="0"/>
        <charset val="1"/>
      </rPr>
      <t xml:space="preserve">release/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ota/latest.json</t>
    </r>
  </si>
  <si>
    <r>
      <rPr>
        <sz val="10"/>
        <color rgb="FF000000"/>
        <rFont val="Arial"/>
        <family val="0"/>
        <charset val="1"/>
      </rPr>
      <t xml:space="preserve">versions.json</t>
    </r>
    <r>
      <rPr>
        <sz val="10"/>
        <color rgb="FF000000"/>
        <rFont val="Noto Sans CJK SC"/>
        <family val="2"/>
      </rPr>
      <t xml:space="preserve">（唯一版本來源）、每次正式 </t>
    </r>
    <r>
      <rPr>
        <sz val="10"/>
        <color rgb="FF000000"/>
        <rFont val="Arial"/>
        <family val="0"/>
        <charset val="1"/>
      </rPr>
      <t xml:space="preserve">OTA Release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manifest</t>
    </r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</si>
  <si>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GitHub Pages </t>
    </r>
    <r>
      <rPr>
        <sz val="10"/>
        <color rgb="FF000000"/>
        <rFont val="Noto Sans CJK SC"/>
        <family val="2"/>
      </rPr>
      <t xml:space="preserve">預覽站台建置產物</t>
    </r>
  </si>
  <si>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index.html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assets/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data/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icons/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manifest.json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sw.js</t>
    </r>
  </si>
  <si>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自動把 </t>
    </r>
    <r>
      <rPr>
        <sz val="10"/>
        <color rgb="FF000000"/>
        <rFont val="Arial"/>
        <family val="0"/>
        <charset val="1"/>
      </rPr>
      <t xml:space="preserve">webapp build </t>
    </r>
    <r>
      <rPr>
        <sz val="10"/>
        <color rgb="FF000000"/>
        <rFont val="Noto Sans CJK SC"/>
        <family val="2"/>
      </rPr>
      <t xml:space="preserve">輸出發佈到 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根目錄，供開發預覽</t>
    </r>
  </si>
  <si>
    <t xml:space="preserve">專案文件</t>
  </si>
  <si>
    <r>
      <rPr>
        <b val="true"/>
        <sz val="10"/>
        <color rgb="FF000000"/>
        <rFont val="Arial"/>
        <family val="0"/>
        <charset val="1"/>
      </rPr>
      <t xml:space="preserve">README.md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CLAUDE.md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docs/</t>
    </r>
    <r>
      <rPr>
        <b val="true"/>
        <sz val="10"/>
        <color rgb="FF000000"/>
        <rFont val="Noto Sans CJK SC"/>
        <family val="2"/>
      </rPr>
      <t xml:space="preserve">、</t>
    </r>
    <r>
      <rPr>
        <b val="true"/>
        <sz val="10"/>
        <color rgb="FF000000"/>
        <rFont val="Arial"/>
        <family val="0"/>
        <charset val="1"/>
      </rPr>
      <t xml:space="preserve">android/README.md</t>
    </r>
  </si>
  <si>
    <r>
      <rPr>
        <b val="true"/>
        <sz val="10"/>
        <color rgb="FF000000"/>
        <rFont val="Noto Sans CJK SC"/>
        <family val="2"/>
      </rPr>
      <t xml:space="preserve">規格書、教育訓練操作手冊、架構／</t>
    </r>
    <r>
      <rPr>
        <b val="true"/>
        <sz val="10"/>
        <color rgb="FF000000"/>
        <rFont val="Arial"/>
        <family val="0"/>
        <charset val="1"/>
      </rPr>
      <t xml:space="preserve">AR</t>
    </r>
    <r>
      <rPr>
        <b val="true"/>
        <sz val="10"/>
        <color rgb="FF000000"/>
        <rFont val="Noto Sans CJK SC"/>
        <family val="2"/>
      </rPr>
      <t xml:space="preserve">／版本規範文件、翻譯稿、驗收截圖</t>
    </r>
  </si>
  <si>
    <t xml:space="preserve">　正式文件（規格書／教育訓練操作手冊）</t>
  </si>
  <si>
    <t xml:space="preserve">docs/CIBAR-*.md</t>
  </si>
  <si>
    <r>
      <rPr>
        <sz val="10"/>
        <color rgb="FF000000"/>
        <rFont val="Arial"/>
        <family val="0"/>
        <charset val="1"/>
      </rPr>
      <t xml:space="preserve">CIBAR </t>
    </r>
    <r>
      <rPr>
        <sz val="10"/>
        <color rgb="FF000000"/>
        <rFont val="Noto Sans CJK SC"/>
        <family val="2"/>
      </rPr>
      <t xml:space="preserve">系統規格書（含驗收檢核）、教育訓練操作手冊</t>
    </r>
  </si>
  <si>
    <t xml:space="preserve">　工程與規範文件</t>
  </si>
  <si>
    <r>
      <rPr>
        <sz val="10"/>
        <color rgb="FF000000"/>
        <rFont val="Arial"/>
        <family val="0"/>
        <charset val="1"/>
      </rPr>
      <t xml:space="preserve">README.md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docs/*.md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docs/design/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docs/line/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android/*.md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webapp/README.md</t>
    </r>
  </si>
  <si>
    <r>
      <rPr>
        <sz val="10"/>
        <color rgb="FF000000"/>
        <rFont val="Noto Sans CJK SC"/>
        <family val="2"/>
      </rPr>
      <t xml:space="preserve">版本／</t>
    </r>
    <r>
      <rPr>
        <sz val="10"/>
        <color rgb="FF000000"/>
        <rFont val="Arial"/>
        <family val="0"/>
        <charset val="1"/>
      </rPr>
      <t xml:space="preserve">OTA</t>
    </r>
    <r>
      <rPr>
        <sz val="10"/>
        <color rgb="FF000000"/>
        <rFont val="Noto Sans CJK SC"/>
        <family val="2"/>
      </rPr>
      <t xml:space="preserve">／交付紀錄規範、架構稽核、</t>
    </r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相機與手勢說明、</t>
    </r>
    <r>
      <rPr>
        <sz val="10"/>
        <color rgb="FF000000"/>
        <rFont val="Arial"/>
        <family val="0"/>
        <charset val="1"/>
      </rPr>
      <t xml:space="preserve">Release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Delivery History</t>
    </r>
  </si>
  <si>
    <t xml:space="preserve">　翻譯稿與所在地對照資料</t>
  </si>
  <si>
    <r>
      <rPr>
        <sz val="10"/>
        <color rgb="FF000000"/>
        <rFont val="Arial"/>
        <family val="0"/>
        <charset val="1"/>
      </rPr>
      <t xml:space="preserve">docs/translations/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docs/location-mapping/</t>
    </r>
  </si>
  <si>
    <t xml:space="preserve">情境中英日文稿、警政轄區對照表</t>
  </si>
  <si>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PR </t>
    </r>
    <r>
      <rPr>
        <sz val="10"/>
        <color rgb="FF000000"/>
        <rFont val="Noto Sans CJK SC"/>
        <family val="2"/>
      </rPr>
      <t xml:space="preserve">驗收截圖</t>
    </r>
  </si>
  <si>
    <r>
      <rPr>
        <sz val="10"/>
        <color rgb="FF000000"/>
        <rFont val="Arial"/>
        <family val="0"/>
        <charset val="1"/>
      </rPr>
      <t xml:space="preserve">docs/pr-screenshots/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docs/screenshots/</t>
    </r>
  </si>
  <si>
    <r>
      <rPr>
        <sz val="10"/>
        <color rgb="FF000000"/>
        <rFont val="Noto Sans CJK SC"/>
        <family val="2"/>
      </rPr>
      <t xml:space="preserve">各次 </t>
    </r>
    <r>
      <rPr>
        <sz val="10"/>
        <color rgb="FF000000"/>
        <rFont val="Arial"/>
        <family val="0"/>
        <charset val="1"/>
      </rPr>
      <t xml:space="preserve">PR </t>
    </r>
    <r>
      <rPr>
        <sz val="10"/>
        <color rgb="FF000000"/>
        <rFont val="Noto Sans CJK SC"/>
        <family val="2"/>
      </rPr>
      <t xml:space="preserve">的畫面驗收截圖</t>
    </r>
  </si>
  <si>
    <r>
      <rPr>
        <b val="true"/>
        <sz val="10"/>
        <color rgb="FF000000"/>
        <rFont val="Noto Sans CJK SC"/>
        <family val="2"/>
      </rPr>
      <t xml:space="preserve">合計（所有 </t>
    </r>
    <r>
      <rPr>
        <b val="true"/>
        <sz val="10"/>
        <color rgb="FF000000"/>
        <rFont val="Arial"/>
        <family val="0"/>
        <charset val="1"/>
      </rPr>
      <t xml:space="preserve">Level 1 </t>
    </r>
    <r>
      <rPr>
        <b val="true"/>
        <sz val="10"/>
        <color rgb="FF000000"/>
        <rFont val="Noto Sans CJK SC"/>
        <family val="2"/>
      </rPr>
      <t xml:space="preserve">群組）</t>
    </r>
  </si>
  <si>
    <t xml:space="preserve">核對：檔案清單總數</t>
  </si>
  <si>
    <t xml:space="preserve">應與上一列檔案數相同；不同代表有檔案未歸入料號</t>
  </si>
  <si>
    <r>
      <rPr>
        <b val="true"/>
        <sz val="14"/>
        <color rgb="FF000000"/>
        <rFont val="Noto Sans CJK SC"/>
        <family val="2"/>
      </rPr>
      <t xml:space="preserve">第三方元件（</t>
    </r>
    <r>
      <rPr>
        <b val="true"/>
        <sz val="14"/>
        <color rgb="FF000000"/>
        <rFont val="Arial"/>
        <family val="0"/>
        <charset val="1"/>
      </rPr>
      <t xml:space="preserve">SBOM</t>
    </r>
    <r>
      <rPr>
        <b val="true"/>
        <sz val="14"/>
        <color rgb="FF000000"/>
        <rFont val="Noto Sans CJK SC"/>
        <family val="2"/>
      </rPr>
      <t xml:space="preserve">）</t>
    </r>
  </si>
  <si>
    <r>
      <rPr>
        <i val="true"/>
        <sz val="9"/>
        <color rgb="FF595959"/>
        <rFont val="Arial"/>
        <family val="0"/>
        <charset val="1"/>
      </rPr>
      <t xml:space="preserve">npm </t>
    </r>
    <r>
      <rPr>
        <i val="true"/>
        <sz val="9"/>
        <color rgb="FF595959"/>
        <rFont val="Noto Sans CJK SC"/>
        <family val="2"/>
      </rPr>
      <t xml:space="preserve">直接相依版本取自 </t>
    </r>
    <r>
      <rPr>
        <i val="true"/>
        <sz val="9"/>
        <color rgb="FF595959"/>
        <rFont val="Arial"/>
        <family val="0"/>
        <charset val="1"/>
      </rPr>
      <t xml:space="preserve">package-lock.json</t>
    </r>
    <r>
      <rPr>
        <i val="true"/>
        <sz val="9"/>
        <color rgb="FF595959"/>
        <rFont val="Noto Sans CJK SC"/>
        <family val="2"/>
      </rPr>
      <t xml:space="preserve">；另有 </t>
    </r>
    <r>
      <rPr>
        <i val="true"/>
        <sz val="9"/>
        <color rgb="FF595959"/>
        <rFont val="Arial"/>
        <family val="0"/>
        <charset val="1"/>
      </rPr>
      <t xml:space="preserve">203 </t>
    </r>
    <r>
      <rPr>
        <i val="true"/>
        <sz val="9"/>
        <color rgb="FF595959"/>
        <rFont val="Noto Sans CJK SC"/>
        <family val="2"/>
      </rPr>
      <t xml:space="preserve">個 </t>
    </r>
    <r>
      <rPr>
        <i val="true"/>
        <sz val="9"/>
        <color rgb="FF595959"/>
        <rFont val="Arial"/>
        <family val="0"/>
        <charset val="1"/>
      </rPr>
      <t xml:space="preserve">runtime </t>
    </r>
    <r>
      <rPr>
        <i val="true"/>
        <sz val="9"/>
        <color rgb="FF595959"/>
        <rFont val="Noto Sans CJK SC"/>
        <family val="2"/>
      </rPr>
      <t xml:space="preserve">間接相依套件（</t>
    </r>
    <r>
      <rPr>
        <i val="true"/>
        <sz val="9"/>
        <color rgb="FF595959"/>
        <rFont val="Arial"/>
        <family val="0"/>
        <charset val="1"/>
      </rPr>
      <t xml:space="preserve">lockfile </t>
    </r>
    <r>
      <rPr>
        <i val="true"/>
        <sz val="9"/>
        <color rgb="FF595959"/>
        <rFont val="Noto Sans CJK SC"/>
        <family val="2"/>
      </rPr>
      <t xml:space="preserve">共 </t>
    </r>
    <r>
      <rPr>
        <i val="true"/>
        <sz val="9"/>
        <color rgb="FF595959"/>
        <rFont val="Arial"/>
        <family val="0"/>
        <charset val="1"/>
      </rPr>
      <t xml:space="preserve">315 </t>
    </r>
    <r>
      <rPr>
        <i val="true"/>
        <sz val="9"/>
        <color rgb="FF595959"/>
        <rFont val="Noto Sans CJK SC"/>
        <family val="2"/>
      </rPr>
      <t xml:space="preserve">個）未逐一列出。</t>
    </r>
  </si>
  <si>
    <t xml:space="preserve">元件名稱</t>
  </si>
  <si>
    <t xml:space="preserve">宣告版本</t>
  </si>
  <si>
    <t xml:space="preserve">鎖定版本</t>
  </si>
  <si>
    <t xml:space="preserve">授權</t>
  </si>
  <si>
    <t xml:space="preserve">用途</t>
  </si>
  <si>
    <t xml:space="preserve">是否隨產品出貨</t>
  </si>
  <si>
    <t xml:space="preserve">來源檔案</t>
  </si>
  <si>
    <t xml:space="preserve">@tensorflow/tfjs</t>
  </si>
  <si>
    <t xml:space="preserve">^4.16.0</t>
  </si>
  <si>
    <t xml:space="preserve">4.22.0</t>
  </si>
  <si>
    <t xml:space="preserve">Apache-2.0</t>
  </si>
  <si>
    <r>
      <rPr>
        <sz val="10"/>
        <color rgb="FF000000"/>
        <rFont val="Arial"/>
        <family val="0"/>
        <charset val="1"/>
      </rPr>
      <t xml:space="preserve">Web Runtime </t>
    </r>
    <r>
      <rPr>
        <sz val="10"/>
        <color rgb="FF000000"/>
        <rFont val="Noto Sans CJK SC"/>
        <family val="2"/>
      </rPr>
      <t xml:space="preserve">套件</t>
    </r>
  </si>
  <si>
    <r>
      <rPr>
        <sz val="10"/>
        <color rgb="FF000000"/>
        <rFont val="Arial"/>
        <family val="0"/>
        <charset val="1"/>
      </rPr>
      <t xml:space="preserve">mind-ar </t>
    </r>
    <r>
      <rPr>
        <sz val="10"/>
        <color rgb="FF000000"/>
        <rFont val="Noto Sans CJK SC"/>
        <family val="2"/>
      </rPr>
      <t xml:space="preserve">影像辨識運算</t>
    </r>
  </si>
  <si>
    <r>
      <rPr>
        <sz val="10"/>
        <color rgb="FF000000"/>
        <rFont val="Noto Sans CJK SC"/>
        <family val="2"/>
      </rPr>
      <t xml:space="preserve">是（編入 </t>
    </r>
    <r>
      <rPr>
        <sz val="10"/>
        <color rgb="FF000000"/>
        <rFont val="Arial"/>
        <family val="0"/>
        <charset val="1"/>
      </rPr>
      <t xml:space="preserve">Web Bundle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</si>
  <si>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webapp/package.json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package-lock.json</t>
    </r>
  </si>
  <si>
    <t xml:space="preserve">i18next</t>
  </si>
  <si>
    <t xml:space="preserve">^26.3.6</t>
  </si>
  <si>
    <t xml:space="preserve">26.3.6</t>
  </si>
  <si>
    <t xml:space="preserve">MIT</t>
  </si>
  <si>
    <t xml:space="preserve">多語系（中／英／日）</t>
  </si>
  <si>
    <t xml:space="preserve">i18next-browser-languagedetector</t>
  </si>
  <si>
    <t xml:space="preserve">^8.2.1</t>
  </si>
  <si>
    <t xml:space="preserve">8.2.1</t>
  </si>
  <si>
    <t xml:space="preserve">語言偵測</t>
  </si>
  <si>
    <t xml:space="preserve">lightweight-charts</t>
  </si>
  <si>
    <t xml:space="preserve">^5.2.0</t>
  </si>
  <si>
    <t xml:space="preserve">5.2.1</t>
  </si>
  <si>
    <r>
      <rPr>
        <sz val="10"/>
        <color rgb="FF000000"/>
        <rFont val="Noto Sans CJK SC"/>
        <family val="2"/>
      </rPr>
      <t xml:space="preserve">模擬投資 </t>
    </r>
    <r>
      <rPr>
        <sz val="10"/>
        <color rgb="FF000000"/>
        <rFont val="Arial"/>
        <family val="0"/>
        <charset val="1"/>
      </rPr>
      <t xml:space="preserve">App K </t>
    </r>
    <r>
      <rPr>
        <sz val="10"/>
        <color rgb="FF000000"/>
        <rFont val="Noto Sans CJK SC"/>
        <family val="2"/>
      </rPr>
      <t xml:space="preserve">線圖</t>
    </r>
  </si>
  <si>
    <t xml:space="preserve">lucide-react</t>
  </si>
  <si>
    <t xml:space="preserve">^1.31.0</t>
  </si>
  <si>
    <t xml:space="preserve">1.31.0</t>
  </si>
  <si>
    <t xml:space="preserve">ISC</t>
  </si>
  <si>
    <t xml:space="preserve">介面圖示</t>
  </si>
  <si>
    <t xml:space="preserve">mind-ar</t>
  </si>
  <si>
    <t xml:space="preserve">^1.2.5</t>
  </si>
  <si>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圖卡辨識引擎</t>
    </r>
  </si>
  <si>
    <t xml:space="preserve">react</t>
  </si>
  <si>
    <t xml:space="preserve">^19.2.8</t>
  </si>
  <si>
    <t xml:space="preserve">19.2.8</t>
  </si>
  <si>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Noto Sans CJK SC"/>
        <family val="2"/>
      </rPr>
      <t xml:space="preserve">框架</t>
    </r>
  </si>
  <si>
    <t xml:space="preserve">react-dom</t>
  </si>
  <si>
    <r>
      <rPr>
        <sz val="10"/>
        <color rgb="FF000000"/>
        <rFont val="Arial"/>
        <family val="0"/>
        <charset val="1"/>
      </rPr>
      <t xml:space="preserve">UI </t>
    </r>
    <r>
      <rPr>
        <sz val="10"/>
        <color rgb="FF000000"/>
        <rFont val="Noto Sans CJK SC"/>
        <family val="2"/>
      </rPr>
      <t xml:space="preserve">框架（</t>
    </r>
    <r>
      <rPr>
        <sz val="10"/>
        <color rgb="FF000000"/>
        <rFont val="Arial"/>
        <family val="0"/>
        <charset val="1"/>
      </rPr>
      <t xml:space="preserve">DOM</t>
    </r>
    <r>
      <rPr>
        <sz val="10"/>
        <color rgb="FF000000"/>
        <rFont val="Noto Sans CJK SC"/>
        <family val="2"/>
      </rPr>
      <t xml:space="preserve">）</t>
    </r>
  </si>
  <si>
    <t xml:space="preserve">react-i18next</t>
  </si>
  <si>
    <t xml:space="preserve">^17.0.11</t>
  </si>
  <si>
    <t xml:space="preserve">17.0.11</t>
  </si>
  <si>
    <r>
      <rPr>
        <sz val="10"/>
        <color rgb="FF000000"/>
        <rFont val="Arial"/>
        <family val="0"/>
        <charset val="1"/>
      </rPr>
      <t xml:space="preserve">React </t>
    </r>
    <r>
      <rPr>
        <sz val="10"/>
        <color rgb="FF000000"/>
        <rFont val="Noto Sans CJK SC"/>
        <family val="2"/>
      </rPr>
      <t xml:space="preserve">多語系綁定</t>
    </r>
  </si>
  <si>
    <t xml:space="preserve">react-router-dom</t>
  </si>
  <si>
    <t xml:space="preserve">^7.18.2</t>
  </si>
  <si>
    <t xml:space="preserve">7.18.2</t>
  </si>
  <si>
    <r>
      <rPr>
        <sz val="10"/>
        <color rgb="FF000000"/>
        <rFont val="Noto Sans CJK SC"/>
        <family val="2"/>
      </rPr>
      <t xml:space="preserve">路由（</t>
    </r>
    <r>
      <rPr>
        <sz val="10"/>
        <color rgb="FF000000"/>
        <rFont val="Arial"/>
        <family val="0"/>
        <charset val="1"/>
      </rPr>
      <t xml:space="preserve">HashRouter</t>
    </r>
    <r>
      <rPr>
        <sz val="10"/>
        <color rgb="FF000000"/>
        <rFont val="Noto Sans CJK SC"/>
        <family val="2"/>
      </rPr>
      <t xml:space="preserve">）</t>
    </r>
  </si>
  <si>
    <t xml:space="preserve">@tailwindcss/vite</t>
  </si>
  <si>
    <t xml:space="preserve">^4.3.3</t>
  </si>
  <si>
    <t xml:space="preserve">4.3.3</t>
  </si>
  <si>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開發／建置工具</t>
    </r>
  </si>
  <si>
    <r>
      <rPr>
        <sz val="10"/>
        <color rgb="FF000000"/>
        <rFont val="Arial"/>
        <family val="0"/>
        <charset val="1"/>
      </rPr>
      <t xml:space="preserve">Tailwind CSS Vite </t>
    </r>
    <r>
      <rPr>
        <sz val="10"/>
        <color rgb="FF000000"/>
        <rFont val="Noto Sans CJK SC"/>
        <family val="2"/>
      </rPr>
      <t xml:space="preserve">外掛</t>
    </r>
  </si>
  <si>
    <t xml:space="preserve">否</t>
  </si>
  <si>
    <t xml:space="preserve">@types/react</t>
  </si>
  <si>
    <t xml:space="preserve">^19.2.17</t>
  </si>
  <si>
    <t xml:space="preserve">19.2.17</t>
  </si>
  <si>
    <r>
      <rPr>
        <sz val="10"/>
        <color rgb="FF000000"/>
        <rFont val="Arial"/>
        <family val="0"/>
        <charset val="1"/>
      </rPr>
      <t xml:space="preserve">React </t>
    </r>
    <r>
      <rPr>
        <sz val="10"/>
        <color rgb="FF000000"/>
        <rFont val="Noto Sans CJK SC"/>
        <family val="2"/>
      </rPr>
      <t xml:space="preserve">型別定義</t>
    </r>
  </si>
  <si>
    <t xml:space="preserve">@types/react-dom</t>
  </si>
  <si>
    <t xml:space="preserve">^19.2.3</t>
  </si>
  <si>
    <t xml:space="preserve">19.2.3</t>
  </si>
  <si>
    <r>
      <rPr>
        <sz val="10"/>
        <color rgb="FF000000"/>
        <rFont val="Arial"/>
        <family val="0"/>
        <charset val="1"/>
      </rPr>
      <t xml:space="preserve">React DOM </t>
    </r>
    <r>
      <rPr>
        <sz val="10"/>
        <color rgb="FF000000"/>
        <rFont val="Noto Sans CJK SC"/>
        <family val="2"/>
      </rPr>
      <t xml:space="preserve">型別定義</t>
    </r>
  </si>
  <si>
    <t xml:space="preserve">@vitejs/plugin-react</t>
  </si>
  <si>
    <t xml:space="preserve">^6.0.3</t>
  </si>
  <si>
    <t xml:space="preserve">6.0.3</t>
  </si>
  <si>
    <r>
      <rPr>
        <sz val="10"/>
        <color rgb="FF000000"/>
        <rFont val="Arial"/>
        <family val="0"/>
        <charset val="1"/>
      </rPr>
      <t xml:space="preserve">Vite React </t>
    </r>
    <r>
      <rPr>
        <sz val="10"/>
        <color rgb="FF000000"/>
        <rFont val="Noto Sans CJK SC"/>
        <family val="2"/>
      </rPr>
      <t xml:space="preserve">外掛</t>
    </r>
  </si>
  <si>
    <t xml:space="preserve">oxlint</t>
  </si>
  <si>
    <t xml:space="preserve">^1.71.0</t>
  </si>
  <si>
    <t xml:space="preserve">1.74.0</t>
  </si>
  <si>
    <r>
      <rPr>
        <sz val="10"/>
        <color rgb="FF000000"/>
        <rFont val="Noto Sans CJK SC"/>
        <family val="2"/>
      </rPr>
      <t xml:space="preserve">程式碼 </t>
    </r>
    <r>
      <rPr>
        <sz val="10"/>
        <color rgb="FF000000"/>
        <rFont val="Arial"/>
        <family val="0"/>
        <charset val="1"/>
      </rPr>
      <t xml:space="preserve">lint</t>
    </r>
  </si>
  <si>
    <t xml:space="preserve">tailwindcss</t>
  </si>
  <si>
    <r>
      <rPr>
        <sz val="10"/>
        <color rgb="FF000000"/>
        <rFont val="Arial"/>
        <family val="0"/>
        <charset val="1"/>
      </rPr>
      <t xml:space="preserve">CSS </t>
    </r>
    <r>
      <rPr>
        <sz val="10"/>
        <color rgb="FF000000"/>
        <rFont val="Noto Sans CJK SC"/>
        <family val="2"/>
      </rPr>
      <t xml:space="preserve">工具框架</t>
    </r>
  </si>
  <si>
    <t xml:space="preserve">vite</t>
  </si>
  <si>
    <t xml:space="preserve">^8.1.1</t>
  </si>
  <si>
    <t xml:space="preserve">8.1.5</t>
  </si>
  <si>
    <t xml:space="preserve">建置工具</t>
  </si>
  <si>
    <r>
      <rPr>
        <sz val="10"/>
        <color rgb="FF000000"/>
        <rFont val="Noto Sans CJK SC"/>
        <family val="2"/>
      </rPr>
      <t xml:space="preserve">佐臻 </t>
    </r>
    <r>
      <rPr>
        <sz val="10"/>
        <color rgb="FF000000"/>
        <rFont val="Arial"/>
        <family val="0"/>
        <charset val="1"/>
      </rPr>
      <t xml:space="preserve">JJSDK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jjsdk.aar</t>
    </r>
    <r>
      <rPr>
        <sz val="10"/>
        <color rgb="FF000000"/>
        <rFont val="Noto Sans CJK SC"/>
        <family val="2"/>
      </rPr>
      <t xml:space="preserve">）</t>
    </r>
  </si>
  <si>
    <t xml:space="preserve">佐臻原廠授權</t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</si>
  <si>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函式庫</t>
    </r>
  </si>
  <si>
    <r>
      <rPr>
        <sz val="10"/>
        <color rgb="FF000000"/>
        <rFont val="Noto Sans CJK SC"/>
        <family val="2"/>
      </rPr>
      <t xml:space="preserve">眼鏡 </t>
    </r>
    <r>
      <rPr>
        <sz val="10"/>
        <color rgb="FF000000"/>
        <rFont val="Arial"/>
        <family val="0"/>
        <charset val="1"/>
      </rPr>
      <t xml:space="preserve">RGB </t>
    </r>
    <r>
      <rPr>
        <sz val="10"/>
        <color rgb="FF000000"/>
        <rFont val="Noto Sans CJK SC"/>
        <family val="2"/>
      </rPr>
      <t xml:space="preserve">相機與 </t>
    </r>
    <r>
      <rPr>
        <sz val="10"/>
        <color rgb="FF000000"/>
        <rFont val="Arial"/>
        <family val="0"/>
        <charset val="1"/>
      </rPr>
      <t xml:space="preserve">ToF </t>
    </r>
    <r>
      <rPr>
        <sz val="10"/>
        <color rgb="FF000000"/>
        <rFont val="Noto Sans CJK SC"/>
        <family val="2"/>
      </rPr>
      <t xml:space="preserve">驅動</t>
    </r>
  </si>
  <si>
    <r>
      <rPr>
        <sz val="10"/>
        <color rgb="FF000000"/>
        <rFont val="Noto Sans CJK SC"/>
        <family val="2"/>
      </rPr>
      <t xml:space="preserve">是（</t>
    </r>
    <r>
      <rPr>
        <sz val="10"/>
        <color rgb="FF000000"/>
        <rFont val="Arial"/>
        <family val="0"/>
        <charset val="1"/>
      </rPr>
      <t xml:space="preserve">APK </t>
    </r>
    <r>
      <rPr>
        <sz val="10"/>
        <color rgb="FF000000"/>
        <rFont val="Noto Sans CJK SC"/>
        <family val="2"/>
      </rPr>
      <t xml:space="preserve">內建）</t>
    </r>
  </si>
  <si>
    <t xml:space="preserve">android/app/build.gradle</t>
  </si>
  <si>
    <t xml:space="preserve">androidx.webkit:webkit</t>
  </si>
  <si>
    <t xml:space="preserve">1.12.1</t>
  </si>
  <si>
    <r>
      <rPr>
        <sz val="10"/>
        <color rgb="FF000000"/>
        <rFont val="Arial"/>
        <family val="0"/>
        <charset val="1"/>
      </rPr>
      <t xml:space="preserve">WebViewAssetLoader</t>
    </r>
    <r>
      <rPr>
        <sz val="10"/>
        <color rgb="FF000000"/>
        <rFont val="Noto Sans CJK SC"/>
        <family val="2"/>
      </rPr>
      <t xml:space="preserve">（本機 </t>
    </r>
    <r>
      <rPr>
        <sz val="10"/>
        <color rgb="FF000000"/>
        <rFont val="Arial"/>
        <family val="0"/>
        <charset val="1"/>
      </rPr>
      <t xml:space="preserve">https origin</t>
    </r>
    <r>
      <rPr>
        <sz val="10"/>
        <color rgb="FF000000"/>
        <rFont val="Noto Sans CJK SC"/>
        <family val="2"/>
      </rPr>
      <t xml:space="preserve">）</t>
    </r>
  </si>
  <si>
    <t xml:space="preserve">junit:junit</t>
  </si>
  <si>
    <t xml:space="preserve">4.13.2</t>
  </si>
  <si>
    <t xml:space="preserve">EPL-1.0</t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</si>
  <si>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測試</t>
    </r>
  </si>
  <si>
    <r>
      <rPr>
        <sz val="10"/>
        <color rgb="FF000000"/>
        <rFont val="Arial"/>
        <family val="0"/>
        <charset val="1"/>
      </rPr>
      <t xml:space="preserve">JVM </t>
    </r>
    <r>
      <rPr>
        <sz val="10"/>
        <color rgb="FF000000"/>
        <rFont val="Noto Sans CJK SC"/>
        <family val="2"/>
      </rPr>
      <t xml:space="preserve">單元測試</t>
    </r>
  </si>
  <si>
    <t xml:space="preserve">org.json:json</t>
  </si>
  <si>
    <t xml:space="preserve">20231013</t>
  </si>
  <si>
    <t xml:space="preserve">Public Domain</t>
  </si>
  <si>
    <r>
      <rPr>
        <sz val="10"/>
        <color rgb="FF000000"/>
        <rFont val="Noto Sans CJK SC"/>
        <family val="2"/>
      </rPr>
      <t xml:space="preserve">測試用 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解析</t>
    </r>
  </si>
  <si>
    <t xml:space="preserve">Android Gradle Plugin</t>
  </si>
  <si>
    <t xml:space="preserve">8.7.3</t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</si>
  <si>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建置工具</t>
    </r>
  </si>
  <si>
    <r>
      <rPr>
        <sz val="10"/>
        <color rgb="FF000000"/>
        <rFont val="Arial"/>
        <family val="0"/>
        <charset val="1"/>
      </rPr>
      <t xml:space="preserve">APK </t>
    </r>
    <r>
      <rPr>
        <sz val="10"/>
        <color rgb="FF000000"/>
        <rFont val="Noto Sans CJK SC"/>
        <family val="2"/>
      </rPr>
      <t xml:space="preserve">建置</t>
    </r>
  </si>
  <si>
    <t xml:space="preserve">android/build.gradle</t>
  </si>
  <si>
    <t xml:space="preserve">Gradle</t>
  </si>
  <si>
    <t xml:space="preserve">8.9</t>
  </si>
  <si>
    <t xml:space="preserve">建置系統</t>
  </si>
  <si>
    <t xml:space="preserve">android/gradle/wrapper/gradle-wrapper.properties</t>
  </si>
  <si>
    <t xml:space="preserve">Android SDK</t>
  </si>
  <si>
    <r>
      <rPr>
        <sz val="10"/>
        <color rgb="FF000000"/>
        <rFont val="Arial"/>
        <family val="0"/>
        <charset val="1"/>
      </rPr>
      <t xml:space="preserve">compileSdk 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targetSdk 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minSdk 27</t>
    </r>
  </si>
  <si>
    <t xml:space="preserve">Android SDK License</t>
  </si>
  <si>
    <r>
      <rPr>
        <sz val="10"/>
        <color rgb="FF000000"/>
        <rFont val="Arial"/>
        <family val="0"/>
        <charset val="1"/>
      </rPr>
      <t xml:space="preserve">targetSdk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JJSDK </t>
    </r>
    <r>
      <rPr>
        <sz val="10"/>
        <color rgb="FF000000"/>
        <rFont val="Noto Sans CJK SC"/>
        <family val="2"/>
      </rPr>
      <t xml:space="preserve">相容需求</t>
    </r>
  </si>
  <si>
    <r>
      <rPr>
        <sz val="10"/>
        <color rgb="FF000000"/>
        <rFont val="Arial"/>
        <family val="0"/>
        <charset val="1"/>
      </rPr>
      <t xml:space="preserve">JDK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Temurin</t>
    </r>
    <r>
      <rPr>
        <sz val="10"/>
        <color rgb="FF000000"/>
        <rFont val="Noto Sans CJK SC"/>
        <family val="2"/>
      </rPr>
      <t xml:space="preserve">）</t>
    </r>
  </si>
  <si>
    <t xml:space="preserve">17</t>
  </si>
  <si>
    <t xml:space="preserve">GPL-2.0 w/ Classpath Exception</t>
  </si>
  <si>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建置環境</t>
    </r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</si>
  <si>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建置</t>
    </r>
  </si>
  <si>
    <t xml:space="preserve">.github/workflows/build-android.yml</t>
  </si>
  <si>
    <t xml:space="preserve">Node.js</t>
  </si>
  <si>
    <t xml:space="preserve">22</t>
  </si>
  <si>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建置（建 </t>
    </r>
    <r>
      <rPr>
        <sz val="10"/>
        <color rgb="FF000000"/>
        <rFont val="Arial"/>
        <family val="0"/>
        <charset val="1"/>
      </rPr>
      <t xml:space="preserve">APK </t>
    </r>
    <r>
      <rPr>
        <sz val="10"/>
        <color rgb="FF000000"/>
        <rFont val="Noto Sans CJK SC"/>
        <family val="2"/>
      </rPr>
      <t xml:space="preserve">也需要）</t>
    </r>
  </si>
  <si>
    <t xml:space="preserve">.github/workflows/*.yml</t>
  </si>
  <si>
    <r>
      <rPr>
        <b val="true"/>
        <sz val="14"/>
        <color rgb="FF000000"/>
        <rFont val="Arial"/>
        <family val="0"/>
        <charset val="1"/>
      </rPr>
      <t xml:space="preserve">repo </t>
    </r>
    <r>
      <rPr>
        <b val="true"/>
        <sz val="14"/>
        <color rgb="FF000000"/>
        <rFont val="Noto Sans CJK SC"/>
        <family val="2"/>
      </rPr>
      <t xml:space="preserve">檔案清單</t>
    </r>
  </si>
  <si>
    <r>
      <rPr>
        <i val="true"/>
        <sz val="9"/>
        <color rgb="FF595959"/>
        <rFont val="Noto Sans CJK SC"/>
        <family val="2"/>
      </rPr>
      <t xml:space="preserve">快照基準 </t>
    </r>
    <r>
      <rPr>
        <i val="true"/>
        <sz val="9"/>
        <color rgb="FF595959"/>
        <rFont val="Arial"/>
        <family val="0"/>
        <charset val="1"/>
      </rPr>
      <t xml:space="preserve">commit bd2ffc4cb9762d6d056e3a38bf3a1cb0479cfd72</t>
    </r>
    <r>
      <rPr>
        <i val="true"/>
        <sz val="9"/>
        <color rgb="FF595959"/>
        <rFont val="Noto Sans CJK SC"/>
        <family val="2"/>
      </rPr>
      <t xml:space="preserve">；共 </t>
    </r>
    <r>
      <rPr>
        <i val="true"/>
        <sz val="9"/>
        <color rgb="FF595959"/>
        <rFont val="Arial"/>
        <family val="0"/>
        <charset val="1"/>
      </rPr>
      <t xml:space="preserve">1330 </t>
    </r>
    <r>
      <rPr>
        <i val="true"/>
        <sz val="9"/>
        <color rgb="FF595959"/>
        <rFont val="Noto Sans CJK SC"/>
        <family val="2"/>
      </rPr>
      <t xml:space="preserve">個 </t>
    </r>
    <r>
      <rPr>
        <i val="true"/>
        <sz val="9"/>
        <color rgb="FF595959"/>
        <rFont val="Arial"/>
        <family val="0"/>
        <charset val="1"/>
      </rPr>
      <t xml:space="preserve">git </t>
    </r>
    <r>
      <rPr>
        <i val="true"/>
        <sz val="9"/>
        <color rgb="FF595959"/>
        <rFont val="Noto Sans CJK SC"/>
        <family val="2"/>
      </rPr>
      <t xml:space="preserve">追蹤檔案。大小單位為 </t>
    </r>
    <r>
      <rPr>
        <i val="true"/>
        <sz val="9"/>
        <color rgb="FF595959"/>
        <rFont val="Arial"/>
        <family val="0"/>
        <charset val="1"/>
      </rPr>
      <t xml:space="preserve">bytes</t>
    </r>
    <r>
      <rPr>
        <i val="true"/>
        <sz val="9"/>
        <color rgb="FF595959"/>
        <rFont val="Noto Sans CJK SC"/>
        <family val="2"/>
      </rPr>
      <t xml:space="preserve">，</t>
    </r>
    <r>
      <rPr>
        <i val="true"/>
        <sz val="9"/>
        <color rgb="FF595959"/>
        <rFont val="Arial"/>
        <family val="0"/>
        <charset val="1"/>
      </rPr>
      <t xml:space="preserve">SHA-256 </t>
    </r>
    <r>
      <rPr>
        <i val="true"/>
        <sz val="9"/>
        <color rgb="FF595959"/>
        <rFont val="Noto Sans CJK SC"/>
        <family val="2"/>
      </rPr>
      <t xml:space="preserve">由檔案內容計算。</t>
    </r>
  </si>
  <si>
    <t xml:space="preserve">檔案路徑</t>
  </si>
  <si>
    <t xml:space="preserve">所屬料號</t>
  </si>
  <si>
    <t xml:space="preserve">模組名稱</t>
  </si>
  <si>
    <t xml:space="preserve">檔案類型</t>
  </si>
  <si>
    <t xml:space="preserve">副檔名</t>
  </si>
  <si>
    <r>
      <rPr>
        <b val="true"/>
        <sz val="10"/>
        <color rgb="FFFFFFFF"/>
        <rFont val="Noto Sans CJK SC"/>
        <family val="2"/>
      </rPr>
      <t xml:space="preserve">大小（</t>
    </r>
    <r>
      <rPr>
        <b val="true"/>
        <sz val="10"/>
        <color rgb="FFFFFFFF"/>
        <rFont val="Arial"/>
        <family val="0"/>
        <charset val="1"/>
      </rPr>
      <t xml:space="preserve">bytes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</si>
  <si>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SHA-256</t>
  </si>
  <si>
    <r>
      <rPr>
        <sz val="10"/>
        <color rgb="FF000000"/>
        <rFont val="Arial"/>
        <family val="0"/>
        <charset val="1"/>
      </rPr>
      <t xml:space="preserve">CI/CD </t>
    </r>
    <r>
      <rPr>
        <sz val="10"/>
        <color rgb="FF000000"/>
        <rFont val="Noto Sans CJK SC"/>
        <family val="2"/>
      </rPr>
      <t xml:space="preserve">工作流程</t>
    </r>
  </si>
  <si>
    <t xml:space="preserve">其他</t>
  </si>
  <si>
    <t xml:space="preserve">.yml</t>
  </si>
  <si>
    <t xml:space="preserve">248d884c16fd633f5aa56609edbfd5de7395a443dd252164d1e947bb4ba11d59</t>
  </si>
  <si>
    <t xml:space="preserve">.github/workflows/deploy-pages.yml</t>
  </si>
  <si>
    <t xml:space="preserve">7d42b2b583b5028f3e02de477007f9754a5509b8615997dffd9c155258b1ea4d</t>
  </si>
  <si>
    <t xml:space="preserve">.github/workflows/ota-release.yml</t>
  </si>
  <si>
    <t xml:space="preserve">1d003d35bd689e4e475944a234ffdb6803054cfe7e28caba952ff668b32255d6</t>
  </si>
  <si>
    <t xml:space="preserve">.nojekyll</t>
  </si>
  <si>
    <r>
      <rPr>
        <sz val="10"/>
        <color rgb="FF000000"/>
        <rFont val="Arial"/>
        <family val="0"/>
        <charset val="1"/>
      </rPr>
      <t xml:space="preserve">GitHub Pages </t>
    </r>
    <r>
      <rPr>
        <sz val="10"/>
        <color rgb="FF000000"/>
        <rFont val="Noto Sans CJK SC"/>
        <family val="2"/>
      </rPr>
      <t xml:space="preserve">預覽站台建置產物</t>
    </r>
  </si>
  <si>
    <t xml:space="preserve">設定</t>
  </si>
  <si>
    <t xml:space="preserve">（無）</t>
  </si>
  <si>
    <t xml:space="preserve">e3b0c44298fc1c149afbf4c8996fb92427ae41e4649b934ca495991b7852b855</t>
  </si>
  <si>
    <t xml:space="preserve">CLAUDE.md</t>
  </si>
  <si>
    <t xml:space="preserve">工程與規範文件</t>
  </si>
  <si>
    <t xml:space="preserve">.md</t>
  </si>
  <si>
    <t xml:space="preserve">91f8c6546f31eaef15227284adc9f8213d58b812129061366f63ef66e1f89622</t>
  </si>
  <si>
    <t xml:space="preserve">README.md</t>
  </si>
  <si>
    <t xml:space="preserve">485c9460ac051446a71ca0bc746943bb523308f9c2eea4b800570d488a201a6d</t>
  </si>
  <si>
    <t xml:space="preserve">android/.gitignore</t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</si>
  <si>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建置設定與簽章</t>
    </r>
  </si>
  <si>
    <t xml:space="preserve">ba1ecada7c0a2dca6db586a6194fc7342b3e8d8795d6f98cc2b413f41d3b8c27</t>
  </si>
  <si>
    <t xml:space="preserve">android/CLAUDE.md</t>
  </si>
  <si>
    <t xml:space="preserve">c6b4abb98a292ec7fc42d368fb5e69254989562875ad8ff40e96f818648757ee</t>
  </si>
  <si>
    <r>
      <rPr>
        <sz val="10"/>
        <color rgb="FF000000"/>
        <rFont val="Noto Sans CJK SC"/>
        <family val="2"/>
      </rPr>
      <t xml:space="preserve">佐臻原廠 </t>
    </r>
    <r>
      <rPr>
        <sz val="10"/>
        <color rgb="FF000000"/>
        <rFont val="Arial"/>
        <family val="0"/>
        <charset val="1"/>
      </rPr>
      <t xml:space="preserve">J-Reality-Gesture APK</t>
    </r>
    <r>
      <rPr>
        <sz val="10"/>
        <color rgb="FF000000"/>
        <rFont val="Noto Sans CJK SC"/>
        <family val="2"/>
      </rPr>
      <t xml:space="preserve">（參考用）</t>
    </r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</si>
  <si>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安裝檔</t>
    </r>
  </si>
  <si>
    <t xml:space="preserve">.apk</t>
  </si>
  <si>
    <t xml:space="preserve">ce8494a21470d647b9d22e1cc6bdf00a5b08a640c539567bef119f89767cef82</t>
  </si>
  <si>
    <t xml:space="preserve">android/README.md</t>
  </si>
  <si>
    <t xml:space="preserve">0eb6c166894f522e8a873542ab79cdfe741d71cb48c8b2bd5bf989105a27eb25</t>
  </si>
  <si>
    <t xml:space="preserve">建置設定</t>
  </si>
  <si>
    <t xml:space="preserve">.gradle</t>
  </si>
  <si>
    <t xml:space="preserve">bdba845e8c6315dc3fceee55c2585c390df970e60b8b66210547289e00cd2ac4</t>
  </si>
  <si>
    <t xml:space="preserve">android/app/keystore/cibar-test.jks</t>
  </si>
  <si>
    <t xml:space="preserve">簽章金鑰</t>
  </si>
  <si>
    <t xml:space="preserve">.jks</t>
  </si>
  <si>
    <t xml:space="preserve">e965dc0e6ad3286579ea9be001bc356e2df503683695084dd81962665e5029bd</t>
  </si>
  <si>
    <t xml:space="preserve">二進位函式庫</t>
  </si>
  <si>
    <t xml:space="preserve">.aar</t>
  </si>
  <si>
    <t xml:space="preserve">95847781d88ebe35cd54da5e427a2fce4071208800f42401c7378762f4c0cdea</t>
  </si>
  <si>
    <t xml:space="preserve">android/app/proguard-rules.pro</t>
  </si>
  <si>
    <t xml:space="preserve">.pro</t>
  </si>
  <si>
    <t xml:space="preserve">d13beaf0640f96f45a2982152fe81cc0a9ae6ec2578b7dd125575f1234506e3a</t>
  </si>
  <si>
    <t xml:space="preserve">android/app/src/main/AndroidManifest.xml</t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</si>
  <si>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資源與 </t>
    </r>
    <r>
      <rPr>
        <sz val="10"/>
        <color rgb="FF000000"/>
        <rFont val="Arial"/>
        <family val="0"/>
        <charset val="1"/>
      </rPr>
      <t xml:space="preserve">Manifest</t>
    </r>
  </si>
  <si>
    <t xml:space="preserve">.xml</t>
  </si>
  <si>
    <t xml:space="preserve">7e7902cd5a9fae913f556e93f3c5db510c773b2b9f8ea9a83904f7d483dc449b</t>
  </si>
  <si>
    <t xml:space="preserve">android/app/src/main/java/com/bigxreality/jorjinverifier/AppMountedProbeScript.java</t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</si>
  <si>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主程式</t>
    </r>
  </si>
  <si>
    <t xml:space="preserve">原始碼</t>
  </si>
  <si>
    <t xml:space="preserve">.java</t>
  </si>
  <si>
    <t xml:space="preserve">41bb0e72bed895d6dc8dd05d60940b77bc4481ee06f74d22a6b756735446b551</t>
  </si>
  <si>
    <t xml:space="preserve">android/app/src/main/java/com/bigxreality/jorjinverifier/GestureBridgeScript.java</t>
  </si>
  <si>
    <t xml:space="preserve">5f0da632574ee72d9fac63f9ce1632b96f9042c1eade359e203ec429a521c067</t>
  </si>
  <si>
    <t xml:space="preserve">android/app/src/main/java/com/bigxreality/jorjinverifier/GestureController.java</t>
  </si>
  <si>
    <t xml:space="preserve">94bf6be95b4d2c18528a1861532d893a7f1b3279f6cf6afa971792c87d425d7d</t>
  </si>
  <si>
    <t xml:space="preserve">android/app/src/main/java/com/bigxreality/jorjinverifier/GestureLabels.java</t>
  </si>
  <si>
    <t xml:space="preserve">dee726f214bc6f7f22783740ec5b0a5f565971926aa5e64608c9d4d2cdf251af</t>
  </si>
  <si>
    <t xml:space="preserve">android/app/src/main/java/com/bigxreality/jorjinverifier/GlassesCameraStream.java</t>
  </si>
  <si>
    <t xml:space="preserve">8ea23cfdb59322ad5b6ce803fc83d938c877d0c9923e9961d3510a2a71def27d</t>
  </si>
  <si>
    <t xml:space="preserve">android/app/src/main/java/com/bigxreality/jorjinverifier/JorjinHardwareManager.java</t>
  </si>
  <si>
    <t xml:space="preserve">98c3610041e579726d0127410bf1ce1beb64c5f154dfd4d068f04a098fd702c4</t>
  </si>
  <si>
    <t xml:space="preserve">android/app/src/main/java/com/bigxreality/jorjinverifier/JorjinUsbDevices.java</t>
  </si>
  <si>
    <t xml:space="preserve">880a22b0b7329e53af9cd968949dbec57e197cfc7d5e4a0320ea9b7108b166b2</t>
  </si>
  <si>
    <t xml:space="preserve">android/app/src/main/java/com/bigxreality/jorjinverifier/MainActivity.java</t>
  </si>
  <si>
    <t xml:space="preserve">59ecf22d73e1c8aebe3a558d934e02dd92d363a51914e1108533ec5cdb76eb00</t>
  </si>
  <si>
    <t xml:space="preserve">android/app/src/main/java/com/bigxreality/jorjinverifier/MjpegFraming.java</t>
  </si>
  <si>
    <t xml:space="preserve">eb5b855faa883a01eacd36ba28c481a167fe392fbc6cf331edc092a7d7fd4cbb</t>
  </si>
  <si>
    <t xml:space="preserve">android/app/src/main/java/com/bigxreality/jorjinverifier/OtaControlBridge.java</t>
  </si>
  <si>
    <t xml:space="preserve">7493b4d00959d0dea58efcf4315ca26db4fceba8c21a4870b1ec7d79d4c8c3c5</t>
  </si>
  <si>
    <t xml:space="preserve">android/app/src/main/java/com/bigxreality/jorjinverifier/OtaControlBridgeScript.java</t>
  </si>
  <si>
    <t xml:space="preserve">a1eed59baa5d5632fb4e7ddc5bcc158aa15f37c6f7b98e15b17f59e3d9e6eb8a</t>
  </si>
  <si>
    <t xml:space="preserve">android/app/src/main/java/com/bigxreality/jorjinverifier/OtaController.java</t>
  </si>
  <si>
    <t xml:space="preserve">0631daf5ecf887ee4c44d2981a96057407902363625bd1b9f02ccbb828c98971</t>
  </si>
  <si>
    <t xml:space="preserve">android/app/src/main/java/com/bigxreality/jorjinverifier/OtaDiagnosticsScript.java</t>
  </si>
  <si>
    <t xml:space="preserve">fc8862e50e424caf1768ec44606ba9ea3f9200622630bf24462028d00886616d</t>
  </si>
  <si>
    <t xml:space="preserve">android/app/src/main/java/com/bigxreality/jorjinverifier/ScanBridgeScript.java</t>
  </si>
  <si>
    <t xml:space="preserve">184cd5e59eb791d2192d9bdcd127e332f4168cdc4856b42e5d29f26fcbbc017d</t>
  </si>
  <si>
    <t xml:space="preserve">android/app/src/main/java/com/bigxreality/jorjinverifier/ScanDispatcher.java</t>
  </si>
  <si>
    <t xml:space="preserve">0063d22ced3d73159ca12471ecf1d9714d486847ddd5eaab477076f52216ad24</t>
  </si>
  <si>
    <t xml:space="preserve">android/app/src/main/java/com/bigxreality/jorjinverifier/ScanTarget.java</t>
  </si>
  <si>
    <t xml:space="preserve">e6e646947316604cf45b491900e0f17dffa7321897bd1e2699e84e97b7d7c90e</t>
  </si>
  <si>
    <t xml:space="preserve">android/app/src/main/java/com/bigxreality/jorjinverifier/ServiceWorkerGuardScript.java</t>
  </si>
  <si>
    <t xml:space="preserve">8fc0cdb3f2a35d3ef68f3fa2f4a474b88affc4d295e0f9a64304a29e99fdb333</t>
  </si>
  <si>
    <t xml:space="preserve">android/app/src/main/java/com/bigxreality/jorjinverifier/ShellBridgeScript.java</t>
  </si>
  <si>
    <t xml:space="preserve">1a6f9fc79358ea515c549ee2a62117e53540ec4cd78185c4c7f2421dafd93e87</t>
  </si>
  <si>
    <t xml:space="preserve">android/app/src/main/java/com/bigxreality/jorjinverifier/TofFirmware.java</t>
  </si>
  <si>
    <t xml:space="preserve">637cd141fc2a2842dcf0b1ce985a95363a57eb8030ccf5c7f872cfad956cc14c</t>
  </si>
  <si>
    <t xml:space="preserve">android/app/src/main/java/com/bigxreality/jorjinverifier/TofGestureRecognizer.java</t>
  </si>
  <si>
    <t xml:space="preserve">bed9198a5ff6fa09ca790f0849c0be6c44ecb4bf1b8b3f4aa33cb84f987d3692</t>
  </si>
  <si>
    <t xml:space="preserve">android/app/src/main/java/com/bigxreality/jorjinverifier/TofTrace.java</t>
  </si>
  <si>
    <t xml:space="preserve">4deaed70057cad2cf758e40fe329423f79ed136f7be62b2153f94f0c87707919</t>
  </si>
  <si>
    <t xml:space="preserve">android/app/src/main/java/com/bigxreality/jorjinverifier/WebBundleAssetHandler.java</t>
  </si>
  <si>
    <t xml:space="preserve">59228cac4efca5c478e6477a91ed6c10d8fe13b628b035341223d8c4fed2c2df</t>
  </si>
  <si>
    <t xml:space="preserve">android/app/src/main/java/com/bigxreality/jorjinverifier/WebContentSource.java</t>
  </si>
  <si>
    <t xml:space="preserve">b8d57899219f177a59937e9164cc6a90d9cb4909f67b81200e962d683882b907</t>
  </si>
  <si>
    <t xml:space="preserve">android/app/src/main/java/com/bigxreality/jorjinverifier/WebLayerController.java</t>
  </si>
  <si>
    <t xml:space="preserve">b021a5c80298bc38147b651f7f2b06900c0989d3613f46baebca1e074f1e8acf</t>
  </si>
  <si>
    <t xml:space="preserve">android/app/src/main/java/com/bigxreality/jorjinverifier/ota/BundleContent.java</t>
  </si>
  <si>
    <r>
      <rPr>
        <sz val="10"/>
        <color rgb="FF000000"/>
        <rFont val="Arial"/>
        <family val="0"/>
        <charset val="1"/>
      </rPr>
      <t xml:space="preserve">Android OTA </t>
    </r>
    <r>
      <rPr>
        <sz val="10"/>
        <color rgb="FF000000"/>
        <rFont val="Noto Sans CJK SC"/>
        <family val="2"/>
      </rPr>
      <t xml:space="preserve">更新模組</t>
    </r>
  </si>
  <si>
    <t xml:space="preserve">c37770f40c695d769547e2067cbdfee7aff87b5a2443a3000ee5728c8ed4d40d</t>
  </si>
  <si>
    <t xml:space="preserve">android/app/src/main/java/com/bigxreality/jorjinverifier/ota/BundleInstaller.java</t>
  </si>
  <si>
    <t xml:space="preserve">e0a712d3d83b0955e309baf1025b482dfa393055425a3457efaff1b9b75993ad</t>
  </si>
  <si>
    <t xml:space="preserve">android/app/src/main/java/com/bigxreality/jorjinverifier/ota/BundlePaths.java</t>
  </si>
  <si>
    <t xml:space="preserve">8242bbb652770e94d78fc794c48fc4b20c811cbc6e7b1c642611529406098d4f</t>
  </si>
  <si>
    <t xml:space="preserve">android/app/src/main/java/com/bigxreality/jorjinverifier/ota/BundleRequirements.java</t>
  </si>
  <si>
    <t xml:space="preserve">a14d6fe57348a76acb9e7aeac79a353fa015657ff07b1df4753156f3148257a3</t>
  </si>
  <si>
    <t xml:space="preserve">android/app/src/main/java/com/bigxreality/jorjinverifier/ota/BundleVersion.java</t>
  </si>
  <si>
    <t xml:space="preserve">2a94b573c9f6dbbfe4757f7ccbd7b37e8d5feeb9d2648ce518b6c9217db8dc26</t>
  </si>
  <si>
    <t xml:space="preserve">android/app/src/main/java/com/bigxreality/jorjinverifier/ota/Digests.java</t>
  </si>
  <si>
    <t xml:space="preserve">2ae0dca25f3f0066acba8b70c4c586b6ee10696f400c10fa7c4125b1ba40689b</t>
  </si>
  <si>
    <t xml:space="preserve">android/app/src/main/java/com/bigxreality/jorjinverifier/ota/OtaDiagnostics.java</t>
  </si>
  <si>
    <t xml:space="preserve">f897cf9b2d81d6dd2cc2ff152e9f39b687fac4a41ab0588f5f828ae72d2ad56d</t>
  </si>
  <si>
    <t xml:space="preserve">android/app/src/main/java/com/bigxreality/jorjinverifier/ota/OtaException.java</t>
  </si>
  <si>
    <t xml:space="preserve">59d4adf31e77aec3841b7059c50be85050416f927e124f847ff3b5351ef5af9f</t>
  </si>
  <si>
    <t xml:space="preserve">android/app/src/main/java/com/bigxreality/jorjinverifier/ota/OtaHttp.java</t>
  </si>
  <si>
    <t xml:space="preserve">e59f26e47e41e37576b00b8b8a098688868e45806ab250093ea5977fa96175fc</t>
  </si>
  <si>
    <t xml:space="preserve">android/app/src/main/java/com/bigxreality/jorjinverifier/ota/OtaLatest.java</t>
  </si>
  <si>
    <t xml:space="preserve">804ab47d1275ccc970d16f010cbb6e427f6f7aae14542a3c491f65a4559bf8c6</t>
  </si>
  <si>
    <t xml:space="preserve">android/app/src/main/java/com/bigxreality/jorjinverifier/ota/OtaLog.java</t>
  </si>
  <si>
    <t xml:space="preserve">6e3430a5600d1544cabcf860412abd8ada650dcf57bfee3f642c3bf5f2b7e4be</t>
  </si>
  <si>
    <t xml:space="preserve">android/app/src/main/java/com/bigxreality/jorjinverifier/ota/OtaManifest.java</t>
  </si>
  <si>
    <t xml:space="preserve">067efba24d1e64387aa4f0bd69ff8402bffc890e3e7578d267e299338578e22e</t>
  </si>
  <si>
    <t xml:space="preserve">android/app/src/main/java/com/bigxreality/jorjinverifier/ota/OtaPhase.java</t>
  </si>
  <si>
    <t xml:space="preserve">d9d4cea857efe482f8bcfc5ff658127b45aeb08a04d732433bf1c946b91d92f8</t>
  </si>
  <si>
    <t xml:space="preserve">android/app/src/main/java/com/bigxreality/jorjinverifier/ota/OtaUpdateStatus.java</t>
  </si>
  <si>
    <t xml:space="preserve">abc4f6c8cea8c91475f9e900a9acb491cea392d15cd7ff4dfd257cf29f1775b1</t>
  </si>
  <si>
    <t xml:space="preserve">android/app/src/main/java/com/bigxreality/jorjinverifier/ota/OtaUpdater.java</t>
  </si>
  <si>
    <t xml:space="preserve">f2194c18b3065a7317932432bc372f156bcaf21e63df713f8f749d213dc73af2</t>
  </si>
  <si>
    <t xml:space="preserve">android/app/src/main/java/com/bigxreality/jorjinverifier/ota/SemanticVersion.java</t>
  </si>
  <si>
    <t xml:space="preserve">74d3e6d0cfdf76362b990010471587f04dad07efe2d3ac839f06bbd1f7e9d5a1</t>
  </si>
  <si>
    <t xml:space="preserve">android/app/src/main/java/com/bigxreality/jorjinverifier/ota/ShellVersion.java</t>
  </si>
  <si>
    <t xml:space="preserve">4ef97280b2c4ac9c46ecd847b17224f133b1ff93f901c0243fae389cb7f21a99</t>
  </si>
  <si>
    <t xml:space="preserve">android/app/src/main/java/com/bigxreality/jorjinverifier/ota/UpdateDecision.java</t>
  </si>
  <si>
    <t xml:space="preserve">da4522018465efd7ca2b40466f8642143bf7c8db17ade3370aeb2bd9c0acbdba</t>
  </si>
  <si>
    <t xml:space="preserve">android/app/src/main/java/com/bigxreality/jorjinverifier/ota/WebBundle.java</t>
  </si>
  <si>
    <t xml:space="preserve">4d5cf8b51bd1bb980d1cd685bd37a28af407969836a402a51d7a6635094b9cb1</t>
  </si>
  <si>
    <t xml:space="preserve">android/app/src/main/java/com/bigxreality/jorjinverifier/ota/WebBundlePaths.java</t>
  </si>
  <si>
    <t xml:space="preserve">2f35b0a1a0e5d3400840824c7ebd8cc20d6660068967a995ff87fc03f78f7c46</t>
  </si>
  <si>
    <t xml:space="preserve">android/app/src/main/java/com/bigxreality/jorjinverifier/ota/WebBundleResponder.java</t>
  </si>
  <si>
    <t xml:space="preserve">70a025a58b850fe29c740c1bd8af399f95d888000662be594ce3838767054f97</t>
  </si>
  <si>
    <t xml:space="preserve">android/app/src/main/java/com/bigxreality/jorjinverifier/ota/WebBundleState.java</t>
  </si>
  <si>
    <t xml:space="preserve">14b8c1c0d776935e6378a815674d825c7750c9b5ba2a2755effb5b6d7bebb0a6</t>
  </si>
  <si>
    <t xml:space="preserve">android/app/src/main/java/com/bigxreality/jorjinverifier/ota/WebBundleStore.java</t>
  </si>
  <si>
    <t xml:space="preserve">3d079296d356ffbb01dc46beacc61f4fb48a030d1407c3b6f2914755dc70f1d6</t>
  </si>
  <si>
    <t xml:space="preserve">android/app/src/main/res/drawable/ic_launcher_foreground.xml</t>
  </si>
  <si>
    <t xml:space="preserve">288f3cea06b398693982b05c28c98d5a4691c1a3e61282e3d0ea6443bf454636</t>
  </si>
  <si>
    <t xml:space="preserve">android/app/src/main/res/layout/activity_main.xml</t>
  </si>
  <si>
    <t xml:space="preserve">dec4a4c60c7e4618d20eb3ac5ea3f569d978841fc7d999a09e01d878715faa6f</t>
  </si>
  <si>
    <t xml:space="preserve">android/app/src/main/res/mipmap-anydpi-v26/ic_launcher.xml</t>
  </si>
  <si>
    <t xml:space="preserve">964f790b442ca0c1ee6d3b75362fe43085df5f856842367e208788884c27d704</t>
  </si>
  <si>
    <t xml:space="preserve">android/app/src/main/res/mipmap-anydpi-v26/ic_launcher_round.xml</t>
  </si>
  <si>
    <t xml:space="preserve">22e44a8586ae3039999f7f8c358e8a7f0c923a734a97d8388a94642ceb017720</t>
  </si>
  <si>
    <t xml:space="preserve">android/app/src/main/res/mipmap-xxxhdpi/ic_launcher.png</t>
  </si>
  <si>
    <t xml:space="preserve">圖片</t>
  </si>
  <si>
    <t xml:space="preserve">.png</t>
  </si>
  <si>
    <t xml:space="preserve">218f7f2fb54561b3ab18b1b2e994df4fc2d555b426e425d485e84dd80d69b9e1</t>
  </si>
  <si>
    <t xml:space="preserve">android/app/src/main/res/mipmap-xxxhdpi/ic_launcher_maskable.png</t>
  </si>
  <si>
    <t xml:space="preserve">f4a60ce39b2f562a7761f5b45ad5c10484f4671c63cb4095ce7cc1754ffd782a</t>
  </si>
  <si>
    <t xml:space="preserve">android/app/src/main/res/values/colors.xml</t>
  </si>
  <si>
    <t xml:space="preserve">5e5ccde6dbc9fd0794d21873d3a91dcb3c8de2bfe1cbac8e74f11772f2fbcdfb</t>
  </si>
  <si>
    <t xml:space="preserve">android/app/src/main/res/values/strings.xml</t>
  </si>
  <si>
    <t xml:space="preserve">318c03ad55e1f712fecfb3d78e4ae46f99feebcd1ba7721e2d2b507c7f13eaa9</t>
  </si>
  <si>
    <t xml:space="preserve">android/app/src/main/res/values/styles.xml</t>
  </si>
  <si>
    <t xml:space="preserve">e2b6e6e1b201add33d601ace64c1fcfca1bf4ba14d9857964a416fce0da8810b</t>
  </si>
  <si>
    <t xml:space="preserve">android/app/src/main/res/xml/device_filter.xml</t>
  </si>
  <si>
    <t xml:space="preserve">2d422a111e743bec6a2914d793d903d4d14c217ab585bd3c7b7ac315a0b55d81</t>
  </si>
  <si>
    <t xml:space="preserve">android/app/src/test/java/com/bigxreality/jorjinverifier/AppIconTest.java</t>
  </si>
  <si>
    <r>
      <rPr>
        <sz val="10"/>
        <color rgb="FF000000"/>
        <rFont val="Arial"/>
        <family val="0"/>
        <charset val="1"/>
      </rPr>
      <t xml:space="preserve">Android </t>
    </r>
    <r>
      <rPr>
        <sz val="10"/>
        <color rgb="FF000000"/>
        <rFont val="Noto Sans CJK SC"/>
        <family val="2"/>
      </rPr>
      <t xml:space="preserve">單元測試與測試工具</t>
    </r>
  </si>
  <si>
    <t xml:space="preserve">測試程式</t>
  </si>
  <si>
    <t xml:space="preserve">543f760b711712362d01c80bd331ef3a9a396a920bd302f2a4c4333890b591b0</t>
  </si>
  <si>
    <t xml:space="preserve">android/app/src/test/java/com/bigxreality/jorjinverifier/AppIdentityTest.java</t>
  </si>
  <si>
    <t xml:space="preserve">c06f4e8f5c2de9eede7ca47413c71ae08f7477eeea1936e58222f4aba4378adf</t>
  </si>
  <si>
    <t xml:space="preserve">android/app/src/test/java/com/bigxreality/jorjinverifier/GestureBridgeScriptTest.java</t>
  </si>
  <si>
    <t xml:space="preserve">191b20c66a4c4712b2d919cf1b712d24e5423e313d16057592bf93fe119a4d7a</t>
  </si>
  <si>
    <t xml:space="preserve">android/app/src/test/java/com/bigxreality/jorjinverifier/GestureControllerTest.java</t>
  </si>
  <si>
    <t xml:space="preserve">022734f909f4285ae6dae8aff97deae6156cc5b1ec29118c6bbc75b76a886fcb</t>
  </si>
  <si>
    <t xml:space="preserve">android/app/src/test/java/com/bigxreality/jorjinverifier/GestureLabelsTest.java</t>
  </si>
  <si>
    <t xml:space="preserve">cab448feaec63aebb1d8d3ec8d25fd334782cec6412126dc337427f3fa735065</t>
  </si>
  <si>
    <t xml:space="preserve">android/app/src/test/java/com/bigxreality/jorjinverifier/GlassesCameraStreamTest.java</t>
  </si>
  <si>
    <t xml:space="preserve">9817f16c3b98c7e6881b1c09215f8444d30516cb791320359075325f73104247</t>
  </si>
  <si>
    <t xml:space="preserve">android/app/src/test/java/com/bigxreality/jorjinverifier/JorjinUsbDevicesTest.java</t>
  </si>
  <si>
    <t xml:space="preserve">e34fb70a0eecddf9d027a7690d9b85624b71b209848e2896b59f0084e824fe07</t>
  </si>
  <si>
    <t xml:space="preserve">android/app/src/test/java/com/bigxreality/jorjinverifier/MjpegFramingTest.java</t>
  </si>
  <si>
    <t xml:space="preserve">f6b7097038f5e6540e2eb234f7ab8df8603b628b999f0e17e948d49e30ea53ca</t>
  </si>
  <si>
    <t xml:space="preserve">android/app/src/test/java/com/bigxreality/jorjinverifier/OtaScriptsTest.java</t>
  </si>
  <si>
    <t xml:space="preserve">a9c08ceb0ede34e8536f77b79e57da59d4aa3b90d5c7e6f2185dc7fe1df1d18b</t>
  </si>
  <si>
    <t xml:space="preserve">android/app/src/test/java/com/bigxreality/jorjinverifier/ProductionStartupTest.java</t>
  </si>
  <si>
    <t xml:space="preserve">f9e4c29d6aaa22e7bc02d68e87fcebc012b39aff9f154c1854fc15c8c775f922</t>
  </si>
  <si>
    <t xml:space="preserve">android/app/src/test/java/com/bigxreality/jorjinverifier/ScanBridgeScriptTest.java</t>
  </si>
  <si>
    <t xml:space="preserve">20b4ff37af6f3211826dd040376c6be943c38282c28108af1cb6deecc8528121</t>
  </si>
  <si>
    <t xml:space="preserve">android/app/src/test/java/com/bigxreality/jorjinverifier/ScanDispatcherTest.java</t>
  </si>
  <si>
    <t xml:space="preserve">025abd722737327a097ff7bf7867edbaf017ba57c8b3d5656c50599b174b2f1f</t>
  </si>
  <si>
    <t xml:space="preserve">android/app/src/test/java/com/bigxreality/jorjinverifier/ScanTargetTest.java</t>
  </si>
  <si>
    <t xml:space="preserve">d6dfe6d656a07a9e6fde3c8a7dd5d5076aec96df73ecca6db0c40847e77b2d78</t>
  </si>
  <si>
    <t xml:space="preserve">android/app/src/test/java/com/bigxreality/jorjinverifier/ScenarioVideoInlinePlaybackTest.java</t>
  </si>
  <si>
    <t xml:space="preserve">11380ddd7b2aae3411d24b0b87fb42b66b5fe6e7b60c567d88eea853c5583a46</t>
  </si>
  <si>
    <t xml:space="preserve">android/app/src/test/java/com/bigxreality/jorjinverifier/ShellBridgeScriptTest.java</t>
  </si>
  <si>
    <t xml:space="preserve">4751d4b6c59fea7321763f0e9a577df1dc130e5d9bb927637667598110a03da2</t>
  </si>
  <si>
    <t xml:space="preserve">android/app/src/test/java/com/bigxreality/jorjinverifier/ShellVersionTest.java</t>
  </si>
  <si>
    <t xml:space="preserve">45ea61ec79c757c1681e7667f5da97ab9619117025d19cff2520cef8d67c3dcd</t>
  </si>
  <si>
    <t xml:space="preserve">android/app/src/test/java/com/bigxreality/jorjinverifier/TofFirmwareTest.java</t>
  </si>
  <si>
    <t xml:space="preserve">e2bc94081d3027a37d867429bf5d945b3faee0af2b5a96049f7fcfc5f47757b3</t>
  </si>
  <si>
    <t xml:space="preserve">android/app/src/test/java/com/bigxreality/jorjinverifier/TofGestureRecognizerTest.java</t>
  </si>
  <si>
    <t xml:space="preserve">5734b88c8d80f40348fd4c69260d685220f8062bde4b5c6c8e70652b9f41d305</t>
  </si>
  <si>
    <t xml:space="preserve">android/app/src/test/java/com/bigxreality/jorjinverifier/TofTraceTest.java</t>
  </si>
  <si>
    <t xml:space="preserve">a864b72b9dfdc2b28ead567a8eb0fd2a8fb5d978c579738eba8129151ab98861</t>
  </si>
  <si>
    <t xml:space="preserve">android/app/src/test/java/com/bigxreality/jorjinverifier/WebContentSourceTest.java</t>
  </si>
  <si>
    <t xml:space="preserve">0f19567ff416dabdc723f65a8cccc401aa09deeefff3bb19ed9b98977b95e135</t>
  </si>
  <si>
    <t xml:space="preserve">android/app/src/test/java/com/bigxreality/jorjinverifier/WebLayerControllerTest.java</t>
  </si>
  <si>
    <t xml:space="preserve">f629516ddd4879385d5e577d0c92ff5bcb93ef94b4851306214e6c85224d7ccd</t>
  </si>
  <si>
    <t xml:space="preserve">android/app/src/test/java/com/bigxreality/jorjinverifier/ota/BasePathGateContractTest.java</t>
  </si>
  <si>
    <t xml:space="preserve">858a57bf7f5e63c670db83d440bff223991eeae999698f89893ad0272f21c963</t>
  </si>
  <si>
    <t xml:space="preserve">android/app/src/test/java/com/bigxreality/jorjinverifier/ota/BundleInstallerTest.java</t>
  </si>
  <si>
    <t xml:space="preserve">491260e9d16dc59d116ce720392bbb429934e584de70fdf550aa9754284f15b4</t>
  </si>
  <si>
    <t xml:space="preserve">android/app/src/test/java/com/bigxreality/jorjinverifier/ota/BundleVersionTest.java</t>
  </si>
  <si>
    <t xml:space="preserve">78cf581549a9e8255a580ec50291985ed4593cf4b938e793d9c925ae12ffda20</t>
  </si>
  <si>
    <t xml:space="preserve">android/app/src/test/java/com/bigxreality/jorjinverifier/ota/OtaPublisherContractTest.java</t>
  </si>
  <si>
    <t xml:space="preserve">606c741571f0d74e559bf2ce896faabc6a7ba4bf412316b796288650c12bf830</t>
  </si>
  <si>
    <t xml:space="preserve">android/app/src/test/java/com/bigxreality/jorjinverifier/ota/OtaUpdaterTest.java</t>
  </si>
  <si>
    <t xml:space="preserve">ef9ed55facea183c8f44dc8f4c9c2810e9b82a1b7360a7c47e13013748311ad1</t>
  </si>
  <si>
    <t xml:space="preserve">android/app/src/test/java/com/bigxreality/jorjinverifier/ota/TestBundles.java</t>
  </si>
  <si>
    <t xml:space="preserve">1b21cde9e6b05d4ad02cdbb6ae017e03b1df863445bb03edeecfbea5e1922f44</t>
  </si>
  <si>
    <t xml:space="preserve">android/app/src/test/java/com/bigxreality/jorjinverifier/ota/TestHttpServer.java</t>
  </si>
  <si>
    <t xml:space="preserve">75a0b6be8f10e5bbb15eaf5d696540819e74bfa82de4d2474fcb680008af5a28</t>
  </si>
  <si>
    <t xml:space="preserve">android/app/src/test/java/com/bigxreality/jorjinverifier/ota/UpdateDecisionTest.java</t>
  </si>
  <si>
    <t xml:space="preserve">b1a3a6f97539c362087c318c3964e715d58b9da1ac9e7c7f59537bc2d8f02417</t>
  </si>
  <si>
    <t xml:space="preserve">android/app/src/test/java/com/bigxreality/jorjinverifier/ota/WebBundlePathsTest.java</t>
  </si>
  <si>
    <t xml:space="preserve">4adc540d7543aa27fe1988a9602a02ded491ddeb3508e69035ee064d095a05de</t>
  </si>
  <si>
    <t xml:space="preserve">android/app/src/test/java/com/bigxreality/jorjinverifier/ota/WebBundleResponderTest.java</t>
  </si>
  <si>
    <t xml:space="preserve">c9e398757e91456b9a63597ce0014fcc4e4e855e21fbe9362ccaea60a0b6d7f8</t>
  </si>
  <si>
    <t xml:space="preserve">android/app/src/test/java/com/bigxreality/jorjinverifier/ota/WebBundleStoreTest.java</t>
  </si>
  <si>
    <t xml:space="preserve">c1833c59620fed08c21f5b758206839a4b646c93ac5f511ddaad23274acb1689</t>
  </si>
  <si>
    <t xml:space="preserve">android/app/src/test/java/com/jorjin/jjsdk/tof/TofGestureEvents.java</t>
  </si>
  <si>
    <t xml:space="preserve">fd8347432810cd77e615d37b2b036de8e1fe179a58a4dcac6163a117d54ac764</t>
  </si>
  <si>
    <t xml:space="preserve">9779e64941ef00fdb75ecd9ccbf290bad2a4924ea0e1688bb1c617884e2753b6</t>
  </si>
  <si>
    <t xml:space="preserve">android/gradle.properties</t>
  </si>
  <si>
    <t xml:space="preserve">.properties</t>
  </si>
  <si>
    <t xml:space="preserve">e6b436ff6a08da8b8c05e0e2fc1a7f40f41701bb506cd80fc2ddfd7b6e3b3b2b</t>
  </si>
  <si>
    <t xml:space="preserve">android/gradle/wrapper/gradle-wrapper.jar</t>
  </si>
  <si>
    <t xml:space="preserve">.jar</t>
  </si>
  <si>
    <t xml:space="preserve">381dff8aa434499aa93bc25572b049c8c586a67faff2c02f375e4f23e17e49de</t>
  </si>
  <si>
    <t xml:space="preserve">3d91f0932da99885c41e9dc4e85c9f9a2d3bfef4f0ad87473014dc0827a94884</t>
  </si>
  <si>
    <t xml:space="preserve">android/gradlew</t>
  </si>
  <si>
    <t xml:space="preserve">建置腳本</t>
  </si>
  <si>
    <t xml:space="preserve">8c4c04dd98db1f00d49456dd162418a39312c5cb13d6865d783deb483bd1ed22</t>
  </si>
  <si>
    <t xml:space="preserve">android/gradlew.bat</t>
  </si>
  <si>
    <t xml:space="preserve">.bat</t>
  </si>
  <si>
    <t xml:space="preserve">2f18fc6abd50803de7b3a225038d284268904c9d13caa6cf81f99365dc876479</t>
  </si>
  <si>
    <t xml:space="preserve">android/settings.gradle</t>
  </si>
  <si>
    <t xml:space="preserve">a311b901b963da540bcc56b9ca8d67d74a78f7b6e4231d52c6efe7e63e1e84b5</t>
  </si>
  <si>
    <t xml:space="preserve">android/tools/README.md</t>
  </si>
  <si>
    <t xml:space="preserve">6427cccf1f873a22e48ae369c2b8b5a5ec13f612c1c239868a281630187b7ab7</t>
  </si>
  <si>
    <t xml:space="preserve">android/tools/run-jvm-tests.sh</t>
  </si>
  <si>
    <t xml:space="preserve">腳本</t>
  </si>
  <si>
    <t xml:space="preserve">.sh</t>
  </si>
  <si>
    <t xml:space="preserve">ae2404cd5a92f5c19089a700cb169b9251c2e0009f5852110088e002a9f9aba8</t>
  </si>
  <si>
    <t xml:space="preserve">android/tools/stubs/android/util/Log.java</t>
  </si>
  <si>
    <t xml:space="preserve">193aa611fa2340bce086db8b80514600dc4d90fbfbfda698809fce933c3568b5</t>
  </si>
  <si>
    <t xml:space="preserve">android/tools/stubs/androidx/annotation/NonNull.java</t>
  </si>
  <si>
    <t xml:space="preserve">864a5c2ccfa3d108e3684ed911683450c9be14794f4e9d8821e7bf6dccc28f8c</t>
  </si>
  <si>
    <t xml:space="preserve">android/tools/stubs/androidx/annotation/Nullable.java</t>
  </si>
  <si>
    <t xml:space="preserve">da726ae8688470d71aa9455a13a733f41f3ffc136080a62d76ddd63b7d9527d0</t>
  </si>
  <si>
    <t xml:space="preserve">android/tools/stubs/androidx/webkit/WebViewAssetLoader.java</t>
  </si>
  <si>
    <t xml:space="preserve">d812faca5cb0581f80e3057e2b06781926d3a2ac998acde76a98c23849581e59</t>
  </si>
  <si>
    <t xml:space="preserve">assets/compiler-base-CUmL0hg_.js</t>
  </si>
  <si>
    <t xml:space="preserve">.js</t>
  </si>
  <si>
    <t xml:space="preserve">bb493c02a5bbdc3217b01a52e854e46f70e0fbdb56628c661a3c5ea1b9af87a4</t>
  </si>
  <si>
    <t xml:space="preserve">assets/crop-detector-BD789lYI.js</t>
  </si>
  <si>
    <t xml:space="preserve">8d17e70e85197f1caf83b67b3c528efc2c06baf34fc7bea80b6acc361967bd05</t>
  </si>
  <si>
    <t xml:space="preserve">assets/detector-CfuuvDhN.js</t>
  </si>
  <si>
    <t xml:space="preserve">b5a2e33cb8cd7258ff981802cf10681722ebecda2213767c1dfe7c227a7f33b8</t>
  </si>
  <si>
    <t xml:space="preserve">assets/dist-BIyayXSs.js</t>
  </si>
  <si>
    <t xml:space="preserve">7fae3fd80b242b7ad1838a59381c8099e91238d05f269b1276d0e35fd1866f99</t>
  </si>
  <si>
    <t xml:space="preserve">assets/entry-hero-5HrEiVql.webp</t>
  </si>
  <si>
    <t xml:space="preserve">.webp</t>
  </si>
  <si>
    <t xml:space="preserve">0840e470ebc09d0a375c0bcc5f917d1e432c061159eaba70e28fa3e026dc4df4</t>
  </si>
  <si>
    <t xml:space="preserve">assets/entry-hero-BsriFl-T.webp</t>
  </si>
  <si>
    <t xml:space="preserve">b4c3de7462bb11b93194577bb739d7e9859bfc1631e3ab630838e802363b19cf</t>
  </si>
  <si>
    <t xml:space="preserve">assets/entry-hero-CWi3Pvil.webp</t>
  </si>
  <si>
    <t xml:space="preserve">9c7cc4536b148f26b921e34b9bef80b7289c79612f89d720cb78b7f5e6afdd84</t>
  </si>
  <si>
    <t xml:space="preserve">assets/entry-hero-Z5g-qMTk.webp</t>
  </si>
  <si>
    <t xml:space="preserve">17ff6bbdecf4360b484a762b098b293d32536beb07c750ca170a4c62fe6775e7</t>
  </si>
  <si>
    <t xml:space="preserve">assets/entry-hero-xNNe8d5T.webp</t>
  </si>
  <si>
    <t xml:space="preserve">d986c516dc927f0765f5871ec1b5e15f2d4a0d2db128335395010b71e2286c84</t>
  </si>
  <si>
    <t xml:space="preserve">assets/estimator-CkKAfetn.js</t>
  </si>
  <si>
    <t xml:space="preserve">4a510e6eace9394bac606c9d696feeb5f61ec78fc423ddb465b286b8f28d974c</t>
  </si>
  <si>
    <t xml:space="preserve">assets/fb-ad-creative-BD1Ij6Ma.webp</t>
  </si>
  <si>
    <t xml:space="preserve">a9443ef53338f248889f31273b8d703c1a3c2531cf96e8b0f34bfe5868025209</t>
  </si>
  <si>
    <t xml:space="preserve">assets/homography-D-zlxh9B.js</t>
  </si>
  <si>
    <t xml:space="preserve">fb3390da5d12eabfb581445ada2abcc988bc7d3cc66a029205f17654dcdc4d66</t>
  </si>
  <si>
    <t xml:space="preserve">assets/hpe-delivery-icon-DxVNFx7d.webp</t>
  </si>
  <si>
    <t xml:space="preserve">3fc3bea5c31a3f6242f9f1d5ac31544fe3de022c2bde6d4e7c98e867c71c425b</t>
  </si>
  <si>
    <t xml:space="preserve">assets/hpe-logo-horizontal-Dz_UheIM.webp</t>
  </si>
  <si>
    <t xml:space="preserve">55c366826c9ba375cbdbf423daddca8bb13285948bbb6d2bb5539a375db4c006</t>
  </si>
  <si>
    <t xml:space="preserve">assets/index-BHaLjFQW.js</t>
  </si>
  <si>
    <t xml:space="preserve">f6c72516dd7b41939b3d2b991f26e0a273b14667364bd83730c61ebd9d51e2bb</t>
  </si>
  <si>
    <t xml:space="preserve">assets/index-Dp1NL32b.css</t>
  </si>
  <si>
    <t xml:space="preserve">樣式表</t>
  </si>
  <si>
    <t xml:space="preserve">.css</t>
  </si>
  <si>
    <t xml:space="preserve">0b43154c98c88361efdf3e643557adf0dba6b2ed9967a3c2a3e91b74d38d3f21</t>
  </si>
  <si>
    <t xml:space="preserve">assets/logo-en-I8skVIhq.webp</t>
  </si>
  <si>
    <t xml:space="preserve">7358a155e1cb5c3d25743b6281dc283d663de9b3c1f8256499fc3fad439f503a</t>
  </si>
  <si>
    <t xml:space="preserve">assets/logo-jp-C1HN4LHp.webp</t>
  </si>
  <si>
    <t xml:space="preserve">89d1ca915d4e4146d3a2c04d6afb9cbcde2202c94405df6937cd6dae7f5eb670</t>
  </si>
  <si>
    <t xml:space="preserve">assets/logo-zh-DTJW3yzo.webp</t>
  </si>
  <si>
    <t xml:space="preserve">2f26f995716ba78b7ff48737154e8ba55c5b90713cbc2b1bcc75fccc7f92d256</t>
  </si>
  <si>
    <t xml:space="preserve">assets/matcher-DOWQIoCz.js</t>
  </si>
  <si>
    <t xml:space="preserve">d2e89eb5bc2b54418bef0346f199f2c120fa6db0d2e20a0cab6bddd56e272fcd</t>
  </si>
  <si>
    <t xml:space="preserve">assets/meetu-icon-_BH5gBwH.webp</t>
  </si>
  <si>
    <t xml:space="preserve">83fc47efb966152b6bf14303a32cacaf1b20f8b03b8692cb6018bc480c5b3694</t>
  </si>
  <si>
    <t xml:space="preserve">assets/meetu-logo-Dj7Y_Bep.webp</t>
  </si>
  <si>
    <t xml:space="preserve">adb6be4a9ddf39ec6619d303f9bf5ef6332ba502b1d50a0cd1f527a62337418c</t>
  </si>
  <si>
    <t xml:space="preserve">assets/meetu-logo-compact-YivhgLqJ.webp</t>
  </si>
  <si>
    <t xml:space="preserve">b4b4deab3a1cec7e8491cc9e1e523b49ff001ef0a7723d178a7ba30ba6ad5d45</t>
  </si>
  <si>
    <t xml:space="preserve">assets/meetu-match-success-logo-Cvc84Rid.webp</t>
  </si>
  <si>
    <t xml:space="preserve">df6bab47007153c50e661049b40fc05a08c53127d6c29779d68bde254d6542c9</t>
  </si>
  <si>
    <t xml:space="preserve">assets/mydondon-app-icon-BQ9nDCfl.webp</t>
  </si>
  <si>
    <t xml:space="preserve">4213ab69a3a6926e3319e909d85973a43b18c16f0b281eaa945ff47659fc6b59</t>
  </si>
  <si>
    <t xml:space="preserve">assets/mydondon-logo-horizontal-C_nyMHVt.webp</t>
  </si>
  <si>
    <t xml:space="preserve">e33132070aad4f327b9cb251c606b671344ef67d36f59e560d8aaf8cabae509b</t>
  </si>
  <si>
    <t xml:space="preserve">assets/mydondon-logo-stacked-BwsLlcjZ.webp</t>
  </si>
  <si>
    <t xml:space="preserve">811e193c258e19af3bd21c3848d868b1993f12e8e61edd7f2cec1896492190dd</t>
  </si>
  <si>
    <t xml:space="preserve">assets/mydondon-logo-white-C55sw8hh.webp</t>
  </si>
  <si>
    <t xml:space="preserve">8c256be1a52d8a59dd4d2de2237450878c80047dd00c5f3d6768ab0043a1df8b</t>
  </si>
  <si>
    <t xml:space="preserve">assets/mydondon-wordmark-cn-CXdFdoKC.webp</t>
  </si>
  <si>
    <t xml:space="preserve">434767c10adb7f7bee3de6772e75717342d60a34cf9f092d8dc0ee86fc6ab044</t>
  </si>
  <si>
    <t xml:space="preserve">assets/mydondon-wordmark-nODAbtUg.webp</t>
  </si>
  <si>
    <t xml:space="preserve">74e0d8d28b0abbbe4c403c5509156b69b9f6e0c40653ecfa4aa83325578ae996</t>
  </si>
  <si>
    <t xml:space="preserve">assets/randomizer-CosWiUWk.js</t>
  </si>
  <si>
    <t xml:space="preserve">a6ef1bc46532a000a63232f5f2762f13674b1c3476785613c071e6ab18883003</t>
  </si>
  <si>
    <t xml:space="preserve">assets/scenarios/README.md</t>
  </si>
  <si>
    <t xml:space="preserve">0e502f8bfe8ee6e9abf7a7909c555d8b77258c79539b0c2baad5c268eff0bcbd</t>
  </si>
  <si>
    <t xml:space="preserve">assets/scenarios/scenario-01/images/results/cib-bear-scammed.webp</t>
  </si>
  <si>
    <t xml:space="preserve">7b4c2d290a5085a86013ca3568057d46f9acbd73818267d566e3fe576cd2eac2</t>
  </si>
  <si>
    <t xml:space="preserve">assets/scenarios/scenario-01/images/results/cib-bear-stopped.webp</t>
  </si>
  <si>
    <t xml:space="preserve">763081ade5c882232e572bfecdd0d0cafc49864ea78a83dca0308195ff22f078</t>
  </si>
  <si>
    <t xml:space="preserve">assets/scenarios/scenario-01/videos/chen-teacher-pitch.mp4</t>
  </si>
  <si>
    <t xml:space="preserve">影片</t>
  </si>
  <si>
    <t xml:space="preserve">.mp4</t>
  </si>
  <si>
    <t xml:space="preserve">851fbfb1c4a70d100fb719c2cd8c7caa9d1ffae6ea8ca880e33d8a8c578ae472</t>
  </si>
  <si>
    <t xml:space="preserve">assets/scenarios/scenario-01/videos/teacher-en-f_SC6owoUR.mp4</t>
  </si>
  <si>
    <t xml:space="preserve">4cf0e8b8bd75793514e76e2c7168d79b177a4fbf28a7c929f7bb20c2fd41d680</t>
  </si>
  <si>
    <t xml:space="preserve">assets/scenarios/scenario-01/videos/teacher-jp-f_ftgjUw1g.mp4</t>
  </si>
  <si>
    <t xml:space="preserve">ce01d02b3171c89601e24d2a3acffc35ada51c36067018548faf507c57d871f1</t>
  </si>
  <si>
    <t xml:space="preserve">assets/scenarios/scenario-02/images/chat/photo-villa-booking-paid-en.webp</t>
  </si>
  <si>
    <t xml:space="preserve">f43136a7345fd296e0f6cad9981f155314cc36e128c6cd12c94ef95c59d70478</t>
  </si>
  <si>
    <t xml:space="preserve">assets/scenarios/scenario-02/images/chat/photo-villa-booking-paid-jp.webp</t>
  </si>
  <si>
    <t xml:space="preserve">d6e49a701cd55d49361c398e3201492c693e7fe7f68b4c6c042c2a67312878d4</t>
  </si>
  <si>
    <t xml:space="preserve">assets/scenarios/scenario-02/images/chat/photo-villa-booking-paid.webp</t>
  </si>
  <si>
    <t xml:space="preserve">5b6168b7688c6c430744484007822fbf3b1fdf0e8b903dc65a1043b07c9a2fd7</t>
  </si>
  <si>
    <t xml:space="preserve">assets/scenarios/scenario-02/images/chat/photo-villa-room.webp</t>
  </si>
  <si>
    <t xml:space="preserve">d3717bcc1b7b46a02f81d96f49bbcb7c42c7d3fe6586cf3bb130c7e15ccb8f3c</t>
  </si>
  <si>
    <t xml:space="preserve">assets/scenarios/scenario-02/images/results/cib-bear-romance-scammed.webp</t>
  </si>
  <si>
    <t xml:space="preserve">0d5a2a0b6ee2b533d099e993e769f11521172d4e74ada002d3badec6ef86bbc7</t>
  </si>
  <si>
    <t xml:space="preserve">assets/scenarios/scenario-02/images/results/cib-bear-romance-stopped.webp</t>
  </si>
  <si>
    <t xml:space="preserve">ba0df333531cfb7fdda61faf495b39b2787fe3676ac1ec1d7565899dd7161f2a</t>
  </si>
  <si>
    <t xml:space="preserve">assets/scenarios/scenario-03/audio/README.md</t>
  </si>
  <si>
    <t xml:space="preserve">a05bf5aac1b4e18e5bc31e30fc1454827620b298ed1c43dc1a4baf8440326565</t>
  </si>
  <si>
    <t xml:space="preserve">assets/scenarios/scenario-03/audio/police/police_add_line.mp3</t>
  </si>
  <si>
    <t xml:space="preserve">音訊</t>
  </si>
  <si>
    <t xml:space="preserve">.mp3</t>
  </si>
  <si>
    <t xml:space="preserve">268dc5a665e16bc4f2d2d7722cb5d670a74e197c045090feab1a08a886afefb5</t>
  </si>
  <si>
    <t xml:space="preserve">assets/scenarios/scenario-03/audio/police/police_add_line_en.mp3</t>
  </si>
  <si>
    <t xml:space="preserve">7ff73500368d1c0fe36b48304ec61e14c5b205633697b79e7c0f1c670656cb8f</t>
  </si>
  <si>
    <t xml:space="preserve">assets/scenarios/scenario-03/audio/police/police_add_line_jp.mp3</t>
  </si>
  <si>
    <t xml:space="preserve">46edd81318ece94f6687a43079b0cab45f9eb589f321db92cd97eb52a966a83f</t>
  </si>
  <si>
    <t xml:space="preserve">assets/scenarios/scenario-03/audio/police/police_bank_guide.mp3</t>
  </si>
  <si>
    <t xml:space="preserve">ba7b5d6d9a20072d97e64b1a66bea57ce2fd140f4da2c3cbd8ab7a3edf1a92ce</t>
  </si>
  <si>
    <t xml:space="preserve">assets/scenarios/scenario-03/audio/police/police_bank_guide_en.mp3</t>
  </si>
  <si>
    <t xml:space="preserve">9f76d72bf103643da9b9cd311999eb610e08a3b1c57abbe79fe8ab780ff595c3</t>
  </si>
  <si>
    <t xml:space="preserve">assets/scenarios/scenario-03/audio/police/police_bank_guide_jp.mp3</t>
  </si>
  <si>
    <t xml:space="preserve">66c518b81f1873aed457f5a91ed7011e35f0ca9212433d566cfa23604d735ff2</t>
  </si>
  <si>
    <t xml:space="preserve">assets/scenarios/scenario-03/audio/police/police_callback_intro.mp3</t>
  </si>
  <si>
    <t xml:space="preserve">38c809294ca2410aeb1d517719907f78187a030c645ced566adb9ff86ae44bd4</t>
  </si>
  <si>
    <t xml:space="preserve">assets/scenarios/scenario-03/audio/police/police_callback_intro_en.mp3</t>
  </si>
  <si>
    <t xml:space="preserve">8b812d4d022e2c2fc2f586af08a2ccaff62bd3ad3fade0c4024f702ab11a198c</t>
  </si>
  <si>
    <t xml:space="preserve">assets/scenarios/scenario-03/audio/police/police_callback_intro_jp.mp3</t>
  </si>
  <si>
    <t xml:space="preserve">00b511a3eed4c0e51ea91514b0f476f7b9207e29def8c6a4e35aa357248e07fb</t>
  </si>
  <si>
    <t xml:space="preserve">assets/scenarios/scenario-03/audio/police/police_case_number.mp3</t>
  </si>
  <si>
    <t xml:space="preserve">fdb9bccff59ab344cd08ecfd4e792f77c60667201b8d51e3a4aebf51a48f9ad7</t>
  </si>
  <si>
    <t xml:space="preserve">assets/scenarios/scenario-03/audio/police/police_case_number_en.mp3</t>
  </si>
  <si>
    <t xml:space="preserve">84adf21c29354fc24483c3f6f84d2c37cc35e388a2ce89fc718c295cb12d0f5f</t>
  </si>
  <si>
    <t xml:space="preserve">assets/scenarios/scenario-03/audio/police/police_case_number_jp.mp3</t>
  </si>
  <si>
    <t xml:space="preserve">11764803e38d40aa27b2b7921c44a6fe4027ac49c44f58391af332266dbce014</t>
  </si>
  <si>
    <t xml:space="preserve">assets/scenarios/scenario-03/audio/police/police_custody_account.mp3</t>
  </si>
  <si>
    <t xml:space="preserve">16bfd4b8a00e28e693478562720643d107a5911edcacb97ac8071e9884eb9951</t>
  </si>
  <si>
    <t xml:space="preserve">assets/scenarios/scenario-03/audio/police/police_custody_account_en.mp3</t>
  </si>
  <si>
    <t xml:space="preserve">f5f49573639bc1330e9cad5f765ef7205dac19cc0b4fdff8818019d9318b4b61</t>
  </si>
  <si>
    <t xml:space="preserve">assets/scenarios/scenario-03/audio/police/police_custody_account_jp.mp3</t>
  </si>
  <si>
    <t xml:space="preserve">a76aadd3947f9c388bb2118216a27df502f7db5ae6fb89fd72058999475db396</t>
  </si>
  <si>
    <t xml:space="preserve">assets/scenarios/scenario-03/audio/police/police_custody_handoff.mp3</t>
  </si>
  <si>
    <t xml:space="preserve">a5a7ee5dc808069877c045ed819b4ca93a0b573465629123b8dc4b99c77f7157</t>
  </si>
  <si>
    <t xml:space="preserve">assets/scenarios/scenario-03/audio/police/police_custody_handoff_en.mp3</t>
  </si>
  <si>
    <t xml:space="preserve">842114dd81835c518d7149d6ce76e5214032dea8f48d2f0167fb30f09c701c1b</t>
  </si>
  <si>
    <t xml:space="preserve">assets/scenarios/scenario-03/audio/police/police_custody_handoff_jp.mp3</t>
  </si>
  <si>
    <t xml:space="preserve">b11ec9c67d1ae36d9cfd4facd24121e10fd40d33d5fe13f55f24517805958e38</t>
  </si>
  <si>
    <t xml:space="preserve">assets/scenarios/scenario-03/audio/police/police_data_leak.mp3</t>
  </si>
  <si>
    <t xml:space="preserve">42ee1dcc7a0bade86604f20d2a2c566f523ade3b764cc3ad6a4928d04282486f</t>
  </si>
  <si>
    <t xml:space="preserve">assets/scenarios/scenario-03/audio/police/police_data_leak_en.mp3</t>
  </si>
  <si>
    <t xml:space="preserve">b08e313c881cb21be20f140740ed486261bc9b6e91706d5fdd39027555c0a77c</t>
  </si>
  <si>
    <t xml:space="preserve">assets/scenarios/scenario-03/audio/police/police_data_leak_jp.mp3</t>
  </si>
  <si>
    <t xml:space="preserve">861ffcf86c75f687c73203b27b13da301e42b7e369488367237c64413aba8f22</t>
  </si>
  <si>
    <t xml:space="preserve">assets/scenarios/scenario-03/audio/police/police_identity_answer_a.mp3</t>
  </si>
  <si>
    <t xml:space="preserve">dca6015f23d23d11080cc6be54843667f50f6e41152a08a3397407cf97972537</t>
  </si>
  <si>
    <t xml:space="preserve">assets/scenarios/scenario-03/audio/police/police_identity_answer_a_en.mp3</t>
  </si>
  <si>
    <t xml:space="preserve">9fc274e151f669983d5e0fda9ba46b17eb120e2f1d69c1fc20e32533ca485b07</t>
  </si>
  <si>
    <t xml:space="preserve">assets/scenarios/scenario-03/audio/police/police_identity_answer_a_jp.mp3</t>
  </si>
  <si>
    <t xml:space="preserve">57426fbfc68e0fe29002c8c43fdbe4814f274d4cbc9f647d1f6da22c2467de57</t>
  </si>
  <si>
    <t xml:space="preserve">assets/scenarios/scenario-03/audio/police/police_identity_answer_b.mp3</t>
  </si>
  <si>
    <t xml:space="preserve">61832d8e2510b32c8b9a1b6452740f9a237cc41ce3068b942f9c99f885d83311</t>
  </si>
  <si>
    <t xml:space="preserve">assets/scenarios/scenario-03/audio/police/police_identity_answer_b_en.mp3</t>
  </si>
  <si>
    <t xml:space="preserve">7f941f2d0bbade9dc6714bb2260949d00c9aae7c191a0cef49e023e17d1246e1</t>
  </si>
  <si>
    <t xml:space="preserve">assets/scenarios/scenario-03/audio/police/police_identity_answer_b_jp.mp3</t>
  </si>
  <si>
    <t xml:space="preserve">f48ce0bf2c9cec2218676d582b39347479d20aca0887f7c88d6f3a2efa08e4ca</t>
  </si>
  <si>
    <t xml:space="preserve">assets/scenarios/scenario-03/audio/police/police_identity_question.mp3</t>
  </si>
  <si>
    <t xml:space="preserve">f391f2d216468231ff1926178052f4644b131ac750dcf5185de2c44c9e0eb502</t>
  </si>
  <si>
    <t xml:space="preserve">assets/scenarios/scenario-03/audio/police/police_identity_question_en.mp3</t>
  </si>
  <si>
    <t xml:space="preserve">2c50c209620109ca81897a6401795dbd85d992ed4b5b0ea6bdf3830913dd75f5</t>
  </si>
  <si>
    <t xml:space="preserve">assets/scenarios/scenario-03/audio/police/police_identity_question_jp.mp3</t>
  </si>
  <si>
    <t xml:space="preserve">3420ca4c20569e4d78caeaf549726fbbbb291ae839b4520b99eee43f88880e53</t>
  </si>
  <si>
    <t xml:space="preserve">assets/scenarios/scenario-03/audio/police/police_intro.mp3</t>
  </si>
  <si>
    <t xml:space="preserve">859e5a18b2e21cb41a9ef4a2415ab86a6cde4cb574f1a462513f8c0ed1306440</t>
  </si>
  <si>
    <t xml:space="preserve">assets/scenarios/scenario-03/audio/police/police_intro_en.mp3</t>
  </si>
  <si>
    <t xml:space="preserve">1a44aca3cdcf290f2f59f4fad7f607fd993e8da34a7e07e2426ab54f79fae495</t>
  </si>
  <si>
    <t xml:space="preserve">assets/scenarios/scenario-03/audio/police/police_intro_jp.mp3</t>
  </si>
  <si>
    <t xml:space="preserve">aada64f2aa99a4b6e44d8ff21d56304efab11acd76c02ff5145c878461df6817</t>
  </si>
  <si>
    <t xml:space="preserve">assets/scenarios/scenario-03/audio/police/police_online_answer_a.mp3</t>
  </si>
  <si>
    <t xml:space="preserve">f7887d1b8fd503dbb6b6c71be6ccfc19f2a0faee8160a48d8f17840816b8e1ae</t>
  </si>
  <si>
    <t xml:space="preserve">assets/scenarios/scenario-03/audio/police/police_online_answer_a_en.mp3</t>
  </si>
  <si>
    <t xml:space="preserve">0844c754a755ef53605ab3587ab1099e8380aae71b613106bb6528fadf0f06e7</t>
  </si>
  <si>
    <t xml:space="preserve">assets/scenarios/scenario-03/audio/police/police_online_answer_a_jp.mp3</t>
  </si>
  <si>
    <t xml:space="preserve">a4d08cb0500ca521c6501475402cb488d817f132278913d3ef0055ff966d7412</t>
  </si>
  <si>
    <t xml:space="preserve">assets/scenarios/scenario-03/audio/police/police_online_answer_b.mp3</t>
  </si>
  <si>
    <t xml:space="preserve">a18a3738f1d976c161abc9cbe8d3dee038886521c2cc3db6f2c51f0ac69d2563</t>
  </si>
  <si>
    <t xml:space="preserve">assets/scenarios/scenario-03/audio/police/police_online_answer_b_en.mp3</t>
  </si>
  <si>
    <t xml:space="preserve">cc407ec5137331ff6f1548fa13a7d1b0bd5d010acd8ca6ecfcdb98e74c745675</t>
  </si>
  <si>
    <t xml:space="preserve">assets/scenarios/scenario-03/audio/police/police_online_answer_b_jp.mp3</t>
  </si>
  <si>
    <t xml:space="preserve">f1d3d5b6d8d786732a80b6f88b9579141bac592f2edab17914f43c6ed69867ec</t>
  </si>
  <si>
    <t xml:space="preserve">assets/scenarios/scenario-03/audio/police/police_online_check.mp3</t>
  </si>
  <si>
    <t xml:space="preserve">73cc4a824d6a93579e19923a936250f5c035a0eb5ee77f9dda1b948e88a44b81</t>
  </si>
  <si>
    <t xml:space="preserve">assets/scenarios/scenario-03/audio/police/police_online_check_en.mp3</t>
  </si>
  <si>
    <t xml:space="preserve">dc6b2d97fd59f76091649e8b8d06b8a55efeca2c54b2e4a9e8d81939adf507fc</t>
  </si>
  <si>
    <t xml:space="preserve">assets/scenarios/scenario-03/audio/police/police_online_check_jp.mp3</t>
  </si>
  <si>
    <t xml:space="preserve">62f823aaa7a6b87c74cc6178ef5497ea9228316642afa4c61bd05bab45a97842</t>
  </si>
  <si>
    <t xml:space="preserve">assets/scenarios/scenario-03/audio/police/police_return.mp3</t>
  </si>
  <si>
    <t xml:space="preserve">a22a24d4d69fe4f3f886c8b6ae47759bf1e2930e0fc4dc39d2815f8d4cec2a86</t>
  </si>
  <si>
    <t xml:space="preserve">assets/scenarios/scenario-03/audio/police/police_return_en.mp3</t>
  </si>
  <si>
    <t xml:space="preserve">f84987ba2ab5949103991af830c6d0f2ffbe4f43c0bb4d851349374e37bb7c65</t>
  </si>
  <si>
    <t xml:space="preserve">assets/scenarios/scenario-03/audio/police/police_return_jp.mp3</t>
  </si>
  <si>
    <t xml:space="preserve">bab0bc27c4186864e2cb609480643990307bf09e5125b3f01cd96467ebb1f238</t>
  </si>
  <si>
    <t xml:space="preserve">assets/scenarios/scenario-03/audio/prosecutor/prosecutor_account_answer_a.mp3</t>
  </si>
  <si>
    <t xml:space="preserve">3eb03ff81acc44029bf0d6fbd23c62ed019644bc40940d1780507f4bfea45c78</t>
  </si>
  <si>
    <t xml:space="preserve">assets/scenarios/scenario-03/audio/prosecutor/prosecutor_account_answer_a_en.mp3</t>
  </si>
  <si>
    <t xml:space="preserve">1c46e9f1eaca745e711de52bcfbde48a82882734f90779df5942d20684b6982e</t>
  </si>
  <si>
    <t xml:space="preserve">assets/scenarios/scenario-03/audio/prosecutor/prosecutor_account_answer_a_jp.mp3</t>
  </si>
  <si>
    <t xml:space="preserve">921e618f99b1a76b180fe08b57926a8f1ed1874d919909784dca5b084f499e21</t>
  </si>
  <si>
    <t xml:space="preserve">assets/scenarios/scenario-03/audio/prosecutor/prosecutor_account_answer_b.mp3</t>
  </si>
  <si>
    <t xml:space="preserve">1313c209a64c561df3048985c95ab37e0a883ccf6269ff2bbd9f89c29b43657b</t>
  </si>
  <si>
    <t xml:space="preserve">assets/scenarios/scenario-03/audio/prosecutor/prosecutor_account_answer_b_en.mp3</t>
  </si>
  <si>
    <t xml:space="preserve">fe63aa9decd168e597f0626d4dca5d6359ae7b9f3a4db72d795a937281977669</t>
  </si>
  <si>
    <t xml:space="preserve">assets/scenarios/scenario-03/audio/prosecutor/prosecutor_account_answer_b_jp.mp3</t>
  </si>
  <si>
    <t xml:space="preserve">611b6b0b8ce105e42a3aa621c0a480411a4e94378ef53766b426ad4bc5635e80</t>
  </si>
  <si>
    <t xml:space="preserve">assets/scenarios/scenario-03/audio/prosecutor/prosecutor_account_question.mp3</t>
  </si>
  <si>
    <t xml:space="preserve">13547bb8e1de7fe1fad0294b5ee79c9aa089d194cbfa440ac912875bfd120f9f</t>
  </si>
  <si>
    <t xml:space="preserve">assets/scenarios/scenario-03/audio/prosecutor/prosecutor_account_question_en.mp3</t>
  </si>
  <si>
    <t xml:space="preserve">1bebd30a2c0a89f2240b43c8eaacd687efb4f91d9c5023f83ad9f2ad60538937</t>
  </si>
  <si>
    <t xml:space="preserve">assets/scenarios/scenario-03/audio/prosecutor/prosecutor_account_question_jp.mp3</t>
  </si>
  <si>
    <t xml:space="preserve">44a6eed86ef542e1399d86b6b0eb3beec9d85a54a7c42cc31fffe60bfd97c18b</t>
  </si>
  <si>
    <t xml:space="preserve">assets/scenarios/scenario-03/audio/prosecutor/prosecutor_end.mp3</t>
  </si>
  <si>
    <t xml:space="preserve">8e03fb42d9d4d91c5222657727facea59ebc2892eaf6831864866d4a91b5b9a5</t>
  </si>
  <si>
    <t xml:space="preserve">assets/scenarios/scenario-03/audio/prosecutor/prosecutor_end_en.mp3</t>
  </si>
  <si>
    <t xml:space="preserve">f31f32554f867b15978f8a8136a0ff537e65de472f2a320c721ba0aadc602d2b</t>
  </si>
  <si>
    <t xml:space="preserve">assets/scenarios/scenario-03/audio/prosecutor/prosecutor_end_jp.mp3</t>
  </si>
  <si>
    <t xml:space="preserve">6886ba8bcec9adde735ec288ff024bb6f42402fff5dd073a89052939d126139c</t>
  </si>
  <si>
    <t xml:space="preserve">assets/scenarios/scenario-03/audio/prosecutor/prosecutor_intro.mp3</t>
  </si>
  <si>
    <t xml:space="preserve">9003d96dbc3323ffe7f376f6e4df6c9f9b641bafd7950c19159904a9b6c6e7a0</t>
  </si>
  <si>
    <t xml:space="preserve">assets/scenarios/scenario-03/audio/prosecutor/prosecutor_intro_en.mp3</t>
  </si>
  <si>
    <t xml:space="preserve">b9055ee6d3cbebe9d8a454ad3240e90aae1e227cbbb3c5b73dc02c6a15f59d4e</t>
  </si>
  <si>
    <t xml:space="preserve">assets/scenarios/scenario-03/audio/prosecutor/prosecutor_intro_jp.mp3</t>
  </si>
  <si>
    <t xml:space="preserve">ddb519aa304d2e3aea16177c3fea58a9c2fa15e5d8907a11d3d31483a8dd953a</t>
  </si>
  <si>
    <t xml:space="preserve">assets/scenarios/scenario-03/audio/prosecutor/prosecutor_pressure.mp3</t>
  </si>
  <si>
    <t xml:space="preserve">a221f2ce25d9e9fd5ca1e6f3673568f9321678b2752f116d98847d38f0c30802</t>
  </si>
  <si>
    <t xml:space="preserve">assets/scenarios/scenario-03/audio/prosecutor/prosecutor_pressure_en.mp3</t>
  </si>
  <si>
    <t xml:space="preserve">bd87fe3495fe65b25ca13e0758ae0bf88e88be45f0ba12a722751252000e1a74</t>
  </si>
  <si>
    <t xml:space="preserve">assets/scenarios/scenario-03/audio/prosecutor/prosecutor_pressure_jp.mp3</t>
  </si>
  <si>
    <t xml:space="preserve">3ee021505c7be218e6cc4cf0f7c275d37de32aecd690404052242fd38efaa329</t>
  </si>
  <si>
    <t xml:space="preserve">assets/scenarios/scenario-03/images/results/cib-bear-authority-scammed.webp</t>
  </si>
  <si>
    <t xml:space="preserve">eb77519150e0ef0f7cd9231667a03bb4add86ccb8dd65c71a8e9797595532933</t>
  </si>
  <si>
    <t xml:space="preserve">assets/scenarios/scenario-03/images/results/cib-bear-authority-verified.webp</t>
  </si>
  <si>
    <t xml:space="preserve">69e9c17d537035003a541d24a6775e2a355fca9f317718b7a25aa97fce20b3c8</t>
  </si>
  <si>
    <t xml:space="preserve">assets/scenarios/scenario-04/images/products/bluetooth-mechanical-keyboard.webp</t>
  </si>
  <si>
    <t xml:space="preserve">0081d9fa341f682bff7ca1a3cc2d2e49e7a7e1a1876f9d05e8f6f1f8b43b3aaf</t>
  </si>
  <si>
    <t xml:space="preserve">assets/scenarios/scenario-04/images/products/drip-coffee-10-pack.webp</t>
  </si>
  <si>
    <t xml:space="preserve">919b6d0d7c98a8d9fee151259e19c042fc7cbe1e631f1328e40e6ae7341bc74d</t>
  </si>
  <si>
    <t xml:space="preserve">assets/scenarios/scenario-04/images/products/power-bank.webp</t>
  </si>
  <si>
    <t xml:space="preserve">101158f0471c4e4bacd221a92a10ac341adceda00fc7cb28bf5f77ed4fbda715</t>
  </si>
  <si>
    <t xml:space="preserve">assets/scenarios/scenario-04/images/products/robot-vacuum-actual.webp</t>
  </si>
  <si>
    <t xml:space="preserve">e87e2e0b4d37004420d9f39b9ed516ce9135a220870db83eb80bb2ab1c7440f2</t>
  </si>
  <si>
    <t xml:space="preserve">assets/scenarios/scenario-04/images/products/robot-vacuum-broom-head.webp</t>
  </si>
  <si>
    <t xml:space="preserve">6909474eb9c418a13cbab3bc54c134c921ac5292e73fafa26bebd6140b79d921</t>
  </si>
  <si>
    <t xml:space="preserve">assets/scenarios/scenario-04/images/products/robot-vacuum-broom-poles.webp</t>
  </si>
  <si>
    <t xml:space="preserve">6e2b1a48ace431d260f62f11086e37e06c22de5a573af6dd9a92a375c564e1e9</t>
  </si>
  <si>
    <t xml:space="preserve">assets/scenarios/scenario-04/images/products/robot-vacuum-dustpan.webp</t>
  </si>
  <si>
    <t xml:space="preserve">26726e5b15b27ea9117f9c669907ec0fbed65ed5c8026743ddcbce0a63545058</t>
  </si>
  <si>
    <t xml:space="preserve">assets/scenarios/scenario-04/images/products/robot-vacuum-features.webp</t>
  </si>
  <si>
    <t xml:space="preserve">bc53c76cccc045a0e792eec2fe15256e8132f7eac1a628d650a2d6587c7c99b4</t>
  </si>
  <si>
    <t xml:space="preserve">assets/scenarios/scenario-04/images/products/robot-vacuum-lifestyle.webp</t>
  </si>
  <si>
    <t xml:space="preserve">a65a39a9c1b8aaf5411db684ed176d1825e98d5958492fe418886a576a886574</t>
  </si>
  <si>
    <t xml:space="preserve">assets/scenarios/scenario-04/images/products/robot-vacuum-main.webp</t>
  </si>
  <si>
    <t xml:space="preserve">4b68a9f9fdc3fd73c8c9826b9ee56d8254bd331e0f93ca1097ddab3e5df99449</t>
  </si>
  <si>
    <t xml:space="preserve">assets/scenarios/scenario-04/images/products/robot-vacuum-package.webp</t>
  </si>
  <si>
    <t xml:space="preserve">2dca1253d3aef651d95767ab9289ca41cef5ca0df6b116c16a90566c83171c94</t>
  </si>
  <si>
    <t xml:space="preserve">assets/scenarios/scenario-04/images/products/robot-vacuum-review.webp</t>
  </si>
  <si>
    <t xml:space="preserve">fe494819e85d9c44bb83102b98e54f24c95c3882c6f168ed4e95c301652838b1</t>
  </si>
  <si>
    <t xml:space="preserve">assets/scenarios/scenario-04/images/products/robot-vacuum-unboxed.webp</t>
  </si>
  <si>
    <t xml:space="preserve">0607fe8f254db829c930b26d37cd1433b2ffa755b9d38490090ea1b652c84314</t>
  </si>
  <si>
    <t xml:space="preserve">assets/scenarios/scenario-04/images/products/vexa-flex-x1-actual-folded.webp</t>
  </si>
  <si>
    <t xml:space="preserve">187b980184a0c4a611f9f5b8d5b24d45a5102cd85fa4375611adde5c9d5975a6</t>
  </si>
  <si>
    <t xml:space="preserve">assets/scenarios/scenario-04/images/products/vexa-flex-x1-actual-hinge.webp</t>
  </si>
  <si>
    <t xml:space="preserve">74e8c288236298d8ea04d9457640d7d00c396a35957ca799da19fe678a8996cc</t>
  </si>
  <si>
    <t xml:space="preserve">assets/scenarios/scenario-04/images/products/vexa-flex-x1-actual-main.webp</t>
  </si>
  <si>
    <t xml:space="preserve">f38ffc626a09c11a2b9e04d3d8b9722870276f6edcd9c50c9eedfc6552fec4c0</t>
  </si>
  <si>
    <t xml:space="preserve">assets/scenarios/scenario-04/images/products/vexa-flex-x1-actual-unboxing.webp</t>
  </si>
  <si>
    <t xml:space="preserve">724e86b744483ba050926d07d4a8184b833541c69c67bdde79f92aeaeaf27c2f</t>
  </si>
  <si>
    <t xml:space="preserve">assets/scenarios/scenario-04/images/products/vexa-flex-x1-camera.webp</t>
  </si>
  <si>
    <t xml:space="preserve">66f834d9c044972ede4f24d89e089b69e03a266869ae3a9a01046aa77f88cce1</t>
  </si>
  <si>
    <t xml:space="preserve">assets/scenarios/scenario-04/images/products/vexa-flex-x1-connectivity.webp</t>
  </si>
  <si>
    <t xml:space="preserve">4f8b5f5222c064884f0fa228564a38f0551962a209eb9c1b7c3b183e988b1908</t>
  </si>
  <si>
    <t xml:space="preserve">assets/scenarios/scenario-04/images/products/vexa-flex-x1-display.webp</t>
  </si>
  <si>
    <t xml:space="preserve">ba392e87e018789d79e0d296b4f9dc4c42233a59c09509177b1be15ba7cf7a76</t>
  </si>
  <si>
    <t xml:space="preserve">assets/scenarios/scenario-04/images/products/vexa-flex-x1-main.webp</t>
  </si>
  <si>
    <t xml:space="preserve">8d2cb9fa48dfae22d3921fd7f3c6e9fa44935fc316800f15eb76a4d00c738a85</t>
  </si>
  <si>
    <t xml:space="preserve">assets/scenarios/scenario-04/images/products/waterproof-bluetooth-speaker.webp</t>
  </si>
  <si>
    <t xml:space="preserve">a87e980f7685f95e4173c298a15dab01aa69059a4930ce9c6b67900282c3f6a6</t>
  </si>
  <si>
    <t xml:space="preserve">assets/scenarios/scenario-04/images/results/cib-bear-package-scammed.webp</t>
  </si>
  <si>
    <t xml:space="preserve">a4ae96a0b8c6b76ea8735e540a6b93f5899807c96c17ed56c1b783b3cbdd60f7</t>
  </si>
  <si>
    <t xml:space="preserve">assets/scenarios/scenario-04/images/results/cib-bear-package-stopped.webp</t>
  </si>
  <si>
    <t xml:space="preserve">50dd24d5a2a1a560cbeb9e24030a24c8b79e3847258a8e565d46a3a7eb5097ad</t>
  </si>
  <si>
    <t xml:space="preserve">assets/scenarios/scenario-05/images/results/cib-bear-order-blocked.webp</t>
  </si>
  <si>
    <t xml:space="preserve">c3894648a0a8fa6a7903825068377c6e1325ecc48c42b60ef2fd287147357c1b</t>
  </si>
  <si>
    <t xml:space="preserve">assets/scenarios/scenario-05/images/results/cib-bear-order-scammed.webp</t>
  </si>
  <si>
    <t xml:space="preserve">86d0ef3003567772c3dd9ef78b0d63ba83cbc0d566c61b254ba619218f9e706f</t>
  </si>
  <si>
    <t xml:space="preserve">assets/shared/ar/image-targets.manifest.json</t>
  </si>
  <si>
    <t xml:space="preserve">資料／設定</t>
  </si>
  <si>
    <t xml:space="preserve">.json</t>
  </si>
  <si>
    <t xml:space="preserve">e0636433a0693925397c3e5a28ad54e21fa0a238e25dbb1289c42404e14d789b</t>
  </si>
  <si>
    <t xml:space="preserve">assets/shared/ar/image-targets.mind</t>
  </si>
  <si>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辨識資料集</t>
    </r>
  </si>
  <si>
    <t xml:space="preserve">.mind</t>
  </si>
  <si>
    <t xml:space="preserve">ea64ab1e649d954d5213245a0ace2d6e27445212a6cbd6f5a6de943cf885d8eb</t>
  </si>
  <si>
    <t xml:space="preserve">assets/shared/characters/README.md</t>
  </si>
  <si>
    <t xml:space="preserve">8880fe927533501dac3f7b3ef942fb7d53462c68a1159e204373532c1b1c18ab</t>
  </si>
  <si>
    <t xml:space="preserve">assets/shared/characters/dating_visual_01/avatar.webp</t>
  </si>
  <si>
    <t xml:space="preserve">f88e798b62c1835c55ee0856668784f16c7b1196ad7724f0c020e90fe3f74723</t>
  </si>
  <si>
    <t xml:space="preserve">assets/shared/characters/dating_visual_02/avatar.webp</t>
  </si>
  <si>
    <t xml:space="preserve">0ebe728139a218dede10e7162b265af2943879c0e57ed65edaf5ac4d2e298837</t>
  </si>
  <si>
    <t xml:space="preserve">assets/shared/characters/dating_visual_03/avatar.webp</t>
  </si>
  <si>
    <t xml:space="preserve">a38931cfa5da17db0b2fe13d5a1e8f009bc03fca65664cf41656d9f7cfd0c734</t>
  </si>
  <si>
    <t xml:space="preserve">assets/shared/characters/dating_visual_03/emily-video-01-en.mp4</t>
  </si>
  <si>
    <t xml:space="preserve">a04fa7dcf297bf7730f7ec447635060d6c2b2f898114ef069a5f1d2c687bf818</t>
  </si>
  <si>
    <t xml:space="preserve">assets/shared/characters/dating_visual_03/emily-video-01-jp.mp4</t>
  </si>
  <si>
    <t xml:space="preserve">9731e099ce08203d28598b500dd20fdb79690fc1451410928b48b4acfd277b1b</t>
  </si>
  <si>
    <t xml:space="preserve">assets/shared/characters/dating_visual_03/emily-video-02-en.mp4</t>
  </si>
  <si>
    <t xml:space="preserve">7a7f3897938c16318b7e7e766dba0c98d584ddbe454287be7158c7d3dddc7d49</t>
  </si>
  <si>
    <t xml:space="preserve">assets/shared/characters/dating_visual_03/emily-video-02-jp.mp4</t>
  </si>
  <si>
    <t xml:space="preserve">b3b7000b47c08f155915ce75a700a68a3367867a2b184148dc6d38f0ddf7ba22</t>
  </si>
  <si>
    <t xml:space="preserve">assets/shared/characters/dating_visual_03/emily-video-03-en.mp4</t>
  </si>
  <si>
    <t xml:space="preserve">ee6e04d0511e1278333f4d041316408b168d24ae363aa57f31dc61ab22001ed1</t>
  </si>
  <si>
    <t xml:space="preserve">assets/shared/characters/dating_visual_03/emily-video-03-jp.mp4</t>
  </si>
  <si>
    <t xml:space="preserve">5271515db0c7c2afe601c52d0c8995fe1ff59eaa5b050cde93a8ef1024c3f288</t>
  </si>
  <si>
    <t xml:space="preserve">assets/shared/characters/dating_visual_03/video-010.mp4</t>
  </si>
  <si>
    <t xml:space="preserve">552059f4f6ffad336192dac1e981d2fc566ff49e828a85ac9c31dde03033ea80</t>
  </si>
  <si>
    <t xml:space="preserve">assets/shared/characters/dating_visual_03/video-020.mp4</t>
  </si>
  <si>
    <t xml:space="preserve">59a6ebe8bd9c20671578b57e43e476934bdb44baa8ba20d7eaf8195e13455310</t>
  </si>
  <si>
    <t xml:space="preserve">assets/shared/characters/dating_visual_03/video-030.mp4</t>
  </si>
  <si>
    <t xml:space="preserve">670fa5603a31d6922371335ad98a516c91de7edad2a074548f2b8f16bb7e4aaa</t>
  </si>
  <si>
    <t xml:space="preserve">assets/shared/characters/female_visual_01/avatar.webp</t>
  </si>
  <si>
    <t xml:space="preserve">579e3c94257493f7a99ee06f4ac6a4b8e1aa7f8df5b52658cea22d91f74ce9ed</t>
  </si>
  <si>
    <t xml:space="preserve">assets/shared/characters/female_visual_02/avatar.webp</t>
  </si>
  <si>
    <t xml:space="preserve">6a03ccdb07559ddd16ca1a372d6f23c7e940bf7aa5a6096d2589023bcc957c9e</t>
  </si>
  <si>
    <t xml:space="preserve">assets/shared/characters/male_visual_01/avatar.webp</t>
  </si>
  <si>
    <t xml:space="preserve">d463568be40eefe7f76d0477c0ce3676881acdc70090f622299e29082711038a</t>
  </si>
  <si>
    <t xml:space="preserve">assets/shared/characters/male_visual_02/avatar.webp</t>
  </si>
  <si>
    <t xml:space="preserve">4cca796c78402ffe79d3750dc3d4b3f9bf9e44a639733ee6c072ee9988c7e796</t>
  </si>
  <si>
    <t xml:space="preserve">assets/shared/characters/male_visual_03/avatar.webp</t>
  </si>
  <si>
    <t xml:space="preserve">cdf97847fb336baa11c6905e514d2c522e60358605d64687549164ab45ac6f81</t>
  </si>
  <si>
    <t xml:space="preserve">assets/shared/characters/scenario01_coach_chen/avatar.webp</t>
  </si>
  <si>
    <t xml:space="preserve">f3cebbe29a18ad75dfc1559c7e52dc1805bce26603ae0d86d3be22de010552a7</t>
  </si>
  <si>
    <t xml:space="preserve">assets/shared/characters/scenario01_stock_rookie/avatar.webp</t>
  </si>
  <si>
    <t xml:space="preserve">07d5b0721e34c4be503ccdce236a0be1b335ea1b49997c767eccc06b5d8f494e</t>
  </si>
  <si>
    <t xml:space="preserve">assets/shared/characters/scenario01_wealth_freedom/avatar.webp</t>
  </si>
  <si>
    <t xml:space="preserve">a3ac2275a9b427823007b0b5726a3efa8b4eeacd8b71399de9a72fe2dc71e460</t>
  </si>
  <si>
    <t xml:space="preserve">assets/shared/ui/ar-scan-hero-en.webp</t>
  </si>
  <si>
    <t xml:space="preserve">1b167bad1c10d0f3f3c1afbd6966a14e9fff5f2ff32300e9c7903996062b199d</t>
  </si>
  <si>
    <t xml:space="preserve">assets/shared/ui/ar-scan-hero-jp.webp</t>
  </si>
  <si>
    <t xml:space="preserve">82ddcf70b57b2cf804bdf3dc52a5dec39de75d240fc31934f1daea5b2f5990eb</t>
  </si>
  <si>
    <t xml:space="preserve">assets/shared/ui/ar-scan-hero-zh.webp</t>
  </si>
  <si>
    <t xml:space="preserve">603f6b8b11ce7ffadc003ae2a39f8a3e1362ece84df66ca10f5c08b9853ae187</t>
  </si>
  <si>
    <t xml:space="preserve">assets/shared/ui/gesture/hand.webp</t>
  </si>
  <si>
    <t xml:space="preserve">3cabcc21e1215b7259977b8e6a4990952a8a8365e98ea2051f31f3275e0a11b3</t>
  </si>
  <si>
    <t xml:space="preserve">assets/shared/ui/scenario-menu-background.webp</t>
  </si>
  <si>
    <t xml:space="preserve">b57c8b4efe9f26d634d6e6ebdbc5f56828c1f5c6a7585e8262f28299bf321b0b</t>
  </si>
  <si>
    <t xml:space="preserve">assets/stroller-KgsB9cDo.webp</t>
  </si>
  <si>
    <t xml:space="preserve">89469df914e43b35ffb5f023cf0da9db73c5e651e3919360853a6840e1d65b31</t>
  </si>
  <si>
    <t xml:space="preserve">assets/tablet-C9jvlVbl.webp</t>
  </si>
  <si>
    <t xml:space="preserve">f6e0f4c2a56cbc8b4a2add075af4a59f14d932a9ea4c702d74aed729d7d71765</t>
  </si>
  <si>
    <t xml:space="preserve">data/district-courts.json</t>
  </si>
  <si>
    <t xml:space="preserve">456bcde17fdd323c10328b8142bc7db12952d26809ab388bbb647c70507a463e</t>
  </si>
  <si>
    <t xml:space="preserve">data/police-agencies.json</t>
  </si>
  <si>
    <t xml:space="preserve">c20104bb3ea55acd8b9c95dbad0dfb14156e2b080ce31f6d63caab8db9914e25</t>
  </si>
  <si>
    <t xml:space="preserve">data/prosecutors-offices.json</t>
  </si>
  <si>
    <t xml:space="preserve">a7446e7f7af8ec107a86eb13080cd71d2bf3ff5bdb5832d63fde3b3d7e772ad2</t>
  </si>
  <si>
    <t xml:space="preserve">data/taiwan-regions.json</t>
  </si>
  <si>
    <t xml:space="preserve">87117700c3c38ed470ddb01d8c0f66daa05449132f9acdb58e37b439371e2e5d</t>
  </si>
  <si>
    <t xml:space="preserve">docs/CIBAR-Technical-Specification.md</t>
  </si>
  <si>
    <t xml:space="preserve">正式文件（規格書／教育訓練操作手冊）</t>
  </si>
  <si>
    <t xml:space="preserve">ce7ece3877a676ae50e7916e77909338e5148f7305ddbee1a9d8f6fdd03031fe</t>
  </si>
  <si>
    <r>
      <rPr>
        <sz val="10"/>
        <color rgb="FF000000"/>
        <rFont val="Arial"/>
        <family val="0"/>
        <charset val="1"/>
      </rPr>
      <t xml:space="preserve">docs/CIBAR-</t>
    </r>
    <r>
      <rPr>
        <sz val="10"/>
        <color rgb="FF000000"/>
        <rFont val="Noto Sans CJK SC"/>
        <family val="2"/>
      </rPr>
      <t xml:space="preserve">教育訓練操作手冊</t>
    </r>
    <r>
      <rPr>
        <sz val="10"/>
        <color rgb="FF000000"/>
        <rFont val="Arial"/>
        <family val="0"/>
        <charset val="1"/>
      </rPr>
      <t xml:space="preserve">.md</t>
    </r>
  </si>
  <si>
    <t xml:space="preserve">5c205d8b1e85f4ffce7de241cb123f2ad507a4f23d937fd00624dd04b01ec45f</t>
  </si>
  <si>
    <t xml:space="preserve">docs/DELIVERY_HISTORY.md</t>
  </si>
  <si>
    <t xml:space="preserve">46b900ed3e848f034ece87ca549e8525cc8bc29874b9a0270af0d5724719fa62</t>
  </si>
  <si>
    <t xml:space="preserve">docs/MIGRATION-TO-SCAMAWARE-AR.md</t>
  </si>
  <si>
    <t xml:space="preserve">90ad2a10a3a658c887934201dfbe56b45abf48ef81e4628995dc3b6381d2afa4</t>
  </si>
  <si>
    <t xml:space="preserve">docs/README.md</t>
  </si>
  <si>
    <t xml:space="preserve">3da4b54efdd27329993a6d202c1e881c07b2f3ac5e6345f236d1d2c610f893cd</t>
  </si>
  <si>
    <t xml:space="preserve">docs/RELEASE_HISTORY.md</t>
  </si>
  <si>
    <t xml:space="preserve">5250336ecea4f09b54eb886cd25d1ccb6ac60b26f557815f30aeb106e9801609</t>
  </si>
  <si>
    <t xml:space="preserve">docs/RELEASE_VERSIONING.md</t>
  </si>
  <si>
    <t xml:space="preserve">152bf97fd918c0371ff16e1f09c209e862a6b4d26a4ea4b4c8a327bc702940ec</t>
  </si>
  <si>
    <t xml:space="preserve">docs/app-module-architecture-audit.md</t>
  </si>
  <si>
    <t xml:space="preserve">4cdc35db76185ca619ea5fc91cd6833020f8b9ccfc5009f3a17ce2cd68e0fd80</t>
  </si>
  <si>
    <t xml:space="preserve">docs/app-module-migration.md</t>
  </si>
  <si>
    <t xml:space="preserve">c20eaacb6cea7060deee9862bd8798c3d37c47ca3021709a4c15e41f903a6aee</t>
  </si>
  <si>
    <t xml:space="preserve">docs/ar-gesture-left-right-actions.md</t>
  </si>
  <si>
    <t xml:space="preserve">f472a1e98a03953046a1c5365d2a682047bb83e0df5cdb121487a6600c7a8c34</t>
  </si>
  <si>
    <t xml:space="preserve">docs/ar-gesture-native-binding.md</t>
  </si>
  <si>
    <t xml:space="preserve">b6895e180f7a48c96c8e4592aea337722786a9b5b1898876417e3e220288d6b7</t>
  </si>
  <si>
    <t xml:space="preserve">docs/ar-gesture-phase3-bridge.md</t>
  </si>
  <si>
    <t xml:space="preserve">f84880e284e8eae92c4d1c140992ac3f11439abf34a43f6b3c78fc53a47da2e0</t>
  </si>
  <si>
    <t xml:space="preserve">docs/ar-glasses-camera-diagnosis.md</t>
  </si>
  <si>
    <t xml:space="preserve">0cd36e1bdaf926ebc51f550ab535370ae1a149c879f4d0f32d9831c4705484f4</t>
  </si>
  <si>
    <t xml:space="preserve">docs/ar-image-recognition.md</t>
  </si>
  <si>
    <t xml:space="preserve">9df5262cf9621533a52c05c54b5209f42af6abe8c5831dda499ca507f2601ecc</t>
  </si>
  <si>
    <t xml:space="preserve">docs/ar-interaction-audit.md</t>
  </si>
  <si>
    <t xml:space="preserve">cecc43cb3c05040e68938b1d8f800e041caf9ae3f4006f47e3041a3b01b91d96</t>
  </si>
  <si>
    <t xml:space="preserve">docs/ar-interaction-phase2-migration.md</t>
  </si>
  <si>
    <t xml:space="preserve">a86867d712aa76563f2abd7fa950d5ee32eac57483a3542671a0789ada1b0364</t>
  </si>
  <si>
    <t xml:space="preserve">docs/architecture-modularization-audit.md</t>
  </si>
  <si>
    <t xml:space="preserve">80f4e6040230348f21cd9c2d85d97dcdd8c8ec9e18c40fe56d2faf3297f5fc2d</t>
  </si>
  <si>
    <t xml:space="preserve">docs/asset-architecture.md</t>
  </si>
  <si>
    <t xml:space="preserve">a3e22b130d527718de120dbbe1ba02e001058f0335713bfd31c50baf8d35011f</t>
  </si>
  <si>
    <t xml:space="preserve">docs/asset-localization-audit.md</t>
  </si>
  <si>
    <t xml:space="preserve">63a6103861bb8d05cf0a0a63c3ed38a5a8c846924082ee496e0c5be8ce1a9817</t>
  </si>
  <si>
    <t xml:space="preserve">docs/changelog.md</t>
  </si>
  <si>
    <t xml:space="preserve">93e589bf76851bc0839dedf7439a5ef9d7c0c5f3be2d30cc513c48f575d8b412</t>
  </si>
  <si>
    <t xml:space="preserve">docs/design/CIB-Warning-Behavior-Contract.md</t>
  </si>
  <si>
    <t xml:space="preserve">a275cc5cab68be14da53fc126acea15aed9087058057fe395731f3d1150775c3</t>
  </si>
  <si>
    <t xml:space="preserve">docs/design/CIB-Warning-Design-System.md</t>
  </si>
  <si>
    <t xml:space="preserve">5d01cd79c34ac32bcebe9506c0681a5ce48252f7eb4eef94b1e00680cae7c0d7</t>
  </si>
  <si>
    <t xml:space="preserve">docs/design/CIB-Warning-Implementation-Gaps.md</t>
  </si>
  <si>
    <t xml:space="preserve">4600bc9f70cab3e9494eb22e6cc00521c7b3b94ad279f8037673964433d56d41</t>
  </si>
  <si>
    <t xml:space="preserve">docs/design/CIB-Warning-Matrix.md</t>
  </si>
  <si>
    <t xml:space="preserve">8f96ad7d963c8f50c132c6144072aa05ea7d7b4528e3c5906b8c3d1a95b7f4ff</t>
  </si>
  <si>
    <t xml:space="preserve">docs/design/CIB-Warning-State-Spec.md</t>
  </si>
  <si>
    <t xml:space="preserve">581d3306a557ddb2b840cdc6b9560d6bf7921cc0448442460527990484cd4bc8</t>
  </si>
  <si>
    <t xml:space="preserve">docs/hpe-brand-audit.md</t>
  </si>
  <si>
    <t xml:space="preserve">a15f580278b46f05fd6f0ff8a3935c910c427006d68b2d62125d2de7a087da11</t>
  </si>
  <si>
    <t xml:space="preserve">docs/line/inventory.md</t>
  </si>
  <si>
    <t xml:space="preserve">0feac894eae8f049bf9330d89bb37d49bfbc1f0a02d14e8e2177ef8c5a8db7e1</t>
  </si>
  <si>
    <t xml:space="preserve">docs/localization-audit.md</t>
  </si>
  <si>
    <t xml:space="preserve">5ac8418acd922ba4fddfc0a3d1456df84e3a72e4987b1c8fc0e123115b69f10c</t>
  </si>
  <si>
    <t xml:space="preserve">docs/location-mapping-audit.md</t>
  </si>
  <si>
    <t xml:space="preserve">bf965d84e501465cf48a81f1d0e8b661cc182879553a076fb5ba161e17c949fb</t>
  </si>
  <si>
    <t xml:space="preserve">docs/location-mapping/location-mapping-matrix.csv</t>
  </si>
  <si>
    <t xml:space="preserve">翻譯稿與所在地對照資料</t>
  </si>
  <si>
    <t xml:space="preserve">資料</t>
  </si>
  <si>
    <t xml:space="preserve">.csv</t>
  </si>
  <si>
    <t xml:space="preserve">c98ca77e7c40ed2bddfaa1951ef61da43cc2856eb44c514fffce74fc52029ac4</t>
  </si>
  <si>
    <t xml:space="preserve">docs/location-mapping/police-precinct-station-seed.csv</t>
  </si>
  <si>
    <t xml:space="preserve">c9786fc879fc939cf89d4f8d8c755864a711bd9f14712dc366c14a677dd69bc0</t>
  </si>
  <si>
    <t xml:space="preserve">docs/location-mapping/repository-search-inventory.txt</t>
  </si>
  <si>
    <t xml:space="preserve">.txt</t>
  </si>
  <si>
    <t xml:space="preserve">553ee68f5da36bd88cb8d6121dfd1c730f6cf6cc02e76013ec39712493255004</t>
  </si>
  <si>
    <t xml:space="preserve">docs/opening-animation.md</t>
  </si>
  <si>
    <t xml:space="preserve">1d9edc1c8add25e77cabb8d5c764d0a0f6e9a86f6c89d6f0d3a8402c099d877f</t>
  </si>
  <si>
    <t xml:space="preserve">docs/pr-screenshots/README.md</t>
  </si>
  <si>
    <r>
      <rPr>
        <sz val="10"/>
        <color rgb="FF000000"/>
        <rFont val="Arial"/>
        <family val="0"/>
        <charset val="1"/>
      </rPr>
      <t xml:space="preserve">PR </t>
    </r>
    <r>
      <rPr>
        <sz val="10"/>
        <color rgb="FF000000"/>
        <rFont val="Noto Sans CJK SC"/>
        <family val="2"/>
      </rPr>
      <t xml:space="preserve">驗收截圖</t>
    </r>
  </si>
  <si>
    <t xml:space="preserve">273b88a544042be65107b64a333d38bf08d8c2c7d8e353370c70ed1b72df6884</t>
  </si>
  <si>
    <t xml:space="preserve">docs/pr-screenshots/coin-winner-css-ownership/README.md</t>
  </si>
  <si>
    <t xml:space="preserve">eb0e48ffc921d9a559d63eb1051c066119797854c6c9e08df728212bc125ac3b</t>
  </si>
  <si>
    <t xml:space="preserve">docs/pr-screenshots/coin-winner-css-ownership/desktop/01-landing.png</t>
  </si>
  <si>
    <t xml:space="preserve">7ed3735c092c4b214ba92217be1cb983d46f26580ceb27f69a5a276dba52056e</t>
  </si>
  <si>
    <t xml:space="preserve">docs/pr-screenshots/coin-winner-css-ownership/desktop/02-registration.png</t>
  </si>
  <si>
    <t xml:space="preserve">e8a18740576ff1856b5b2ff80fdc79846a93619ed673f8562d1da03c6baea79f</t>
  </si>
  <si>
    <t xml:space="preserve">docs/pr-screenshots/coin-winner-css-ownership/desktop/03-home-dashboard.png</t>
  </si>
  <si>
    <t xml:space="preserve">5b25f769f5710067b172ffe1d52ca07e0aabc429871c980aa194111d28b4b807</t>
  </si>
  <si>
    <t xml:space="preserve">docs/pr-screenshots/coin-winner-css-ownership/desktop/04-home-strategy-tab.png</t>
  </si>
  <si>
    <t xml:space="preserve">fc206212641886affa461ca919cd976592baba9e835573d890b610a9bfa737f1</t>
  </si>
  <si>
    <t xml:space="preserve">docs/pr-screenshots/coin-winner-css-ownership/desktop/05-strategy-detail.png</t>
  </si>
  <si>
    <t xml:space="preserve">d83cdf73b8c5405595ba84af579a8ba5e2df79b8f5b86c3c3bc9512bf3ccb7c7</t>
  </si>
  <si>
    <t xml:space="preserve">docs/pr-screenshots/coin-winner-css-ownership/desktop/06-deposit-form.png</t>
  </si>
  <si>
    <t xml:space="preserve">c1dc40e0ba418bb004a9f2783e478c55275a2a8f3aad7bf1d36246a00bbc19c4</t>
  </si>
  <si>
    <t xml:space="preserve">docs/pr-screenshots/coin-winner-css-ownership/desktop/07-deposit-success.png</t>
  </si>
  <si>
    <t xml:space="preserve">c077edd21ae6f85960298d11c3d518dfc10bdd0f31357f3d5f6e86f62e9a9e2c</t>
  </si>
  <si>
    <t xml:space="preserve">docs/pr-screenshots/coin-winner-css-ownership/desktop/08-profit-portfolio.png</t>
  </si>
  <si>
    <t xml:space="preserve">812cece69dca90fd28b1b03291ff0571f15731ca622e6801ec4aeb9bc173bdf0</t>
  </si>
  <si>
    <t xml:space="preserve">docs/pr-screenshots/coin-winner-css-ownership/desktop/09-withdrawal-form.png</t>
  </si>
  <si>
    <t xml:space="preserve">060ad605449c14ae6760d1c33798d41643a9611cf26fc61e5737159324a8f509</t>
  </si>
  <si>
    <t xml:space="preserve">docs/pr-screenshots/coin-winner-css-ownership/desktop/10-withdrawal-failed.png</t>
  </si>
  <si>
    <t xml:space="preserve">4fcadb3dc2a0c5c65a665e644a1ce6e56ca3c2d28619467f020447782c054f62</t>
  </si>
  <si>
    <t xml:space="preserve">docs/pr-screenshots/coin-winner-css-ownership/desktop/11-verification-money.png</t>
  </si>
  <si>
    <t xml:space="preserve">b32e5a23295bf9bdc67f9e76b01919ae3836b64fa8a3e8f695caf9f974a979f2</t>
  </si>
  <si>
    <t xml:space="preserve">docs/pr-screenshots/coin-winner-css-ownership/desktop/12-deposit-warning.png</t>
  </si>
  <si>
    <t xml:space="preserve">6454abd134c7fabc22a842657cc9e0657eef4dccf594a41cd04f443cb4a3474c</t>
  </si>
  <si>
    <t xml:space="preserve">docs/pr-screenshots/coin-winner-css-ownership/desktop/13-hotline-165.png</t>
  </si>
  <si>
    <t xml:space="preserve">252752ce43eb281368a3a5f27bd8a45e438973e794e3b92e52a2427a6d168a4e</t>
  </si>
  <si>
    <t xml:space="preserve">docs/pr-screenshots/coin-winner-css-ownership/desktop/14-topup-warning.png</t>
  </si>
  <si>
    <t xml:space="preserve">1a40461c1e8b7c79eea786ed1148d25daa5f75858b928f1cdeac1249593e6e1f</t>
  </si>
  <si>
    <t xml:space="preserve">docs/pr-screenshots/coin-winner-css-ownership/desktop/15-risk-disclosure.png</t>
  </si>
  <si>
    <t xml:space="preserve">0e9c782ee6bfdd33bd2667d9176dc26e79f9f32f8416bbade9afda2880bc8474</t>
  </si>
  <si>
    <t xml:space="preserve">docs/pr-screenshots/coin-winner-css-ownership/desktop/16-warning-stopped.png</t>
  </si>
  <si>
    <t xml:space="preserve">dfbc4359dae0a87a5c7dade5a26d3dd6434c86c6f4c0ea219a931f5b996920a2</t>
  </si>
  <si>
    <t xml:space="preserve">docs/pr-screenshots/coin-winner-css-ownership/mobile/01-landing.png</t>
  </si>
  <si>
    <t xml:space="preserve">2833bfa8a7531b34d40de8e55bb57a089ef9e264ced85bc29adc3852ab7641b2</t>
  </si>
  <si>
    <t xml:space="preserve">docs/pr-screenshots/coin-winner-css-ownership/mobile/02-registration.png</t>
  </si>
  <si>
    <t xml:space="preserve">7300d223ee75967ccf22ba7b34dc9bc081fe70e69779e6adc62715f49ef93397</t>
  </si>
  <si>
    <t xml:space="preserve">docs/pr-screenshots/coin-winner-css-ownership/mobile/03-home-dashboard.png</t>
  </si>
  <si>
    <t xml:space="preserve">67264936a624ea65957ac964cac87c808fd3151f584dde46f05c875509a49d2a</t>
  </si>
  <si>
    <t xml:space="preserve">docs/pr-screenshots/coin-winner-css-ownership/mobile/04-home-strategy-tab.png</t>
  </si>
  <si>
    <t xml:space="preserve">3fa8430bc79b40fda9d37f33259634518a6f733931d46ef496a2822af0c723a6</t>
  </si>
  <si>
    <t xml:space="preserve">docs/pr-screenshots/coin-winner-css-ownership/mobile/05-strategy-detail.png</t>
  </si>
  <si>
    <t xml:space="preserve">b7e0080f03954cd8829681dc1b4b7b4f94b73cea6476fbbf2740662bf60ce27c</t>
  </si>
  <si>
    <t xml:space="preserve">docs/pr-screenshots/coin-winner-css-ownership/mobile/06-deposit-form.png</t>
  </si>
  <si>
    <t xml:space="preserve">ca8111871e8522c078607e6eb8a77e4ba21fc780e529f46ce17cc15b29cf5f56</t>
  </si>
  <si>
    <t xml:space="preserve">docs/pr-screenshots/coin-winner-css-ownership/mobile/07-deposit-success.png</t>
  </si>
  <si>
    <t xml:space="preserve">c7c79e2a0b718d6b669423f5b2ab199f1e7dacc0dc63b63f48e41abca3d2fd93</t>
  </si>
  <si>
    <t xml:space="preserve">docs/pr-screenshots/coin-winner-css-ownership/mobile/08-profit-portfolio.png</t>
  </si>
  <si>
    <t xml:space="preserve">6efb1d1b5c04909d5bce36c41341d651ded708a74ac56a0272193b79c4f5d177</t>
  </si>
  <si>
    <t xml:space="preserve">docs/pr-screenshots/coin-winner-css-ownership/mobile/09-withdrawal-form.png</t>
  </si>
  <si>
    <t xml:space="preserve">7e57260862008acdfae29087baffeb88701b38112c5750cfc7d21559480c8ffd</t>
  </si>
  <si>
    <t xml:space="preserve">docs/pr-screenshots/coin-winner-css-ownership/mobile/10-withdrawal-failed.png</t>
  </si>
  <si>
    <t xml:space="preserve">a58689309e4287883219f88e4c5b24efb9613aad9e5fe0b880af07832a14fa9b</t>
  </si>
  <si>
    <t xml:space="preserve">docs/pr-screenshots/coin-winner-css-ownership/mobile/11-verification-money.png</t>
  </si>
  <si>
    <t xml:space="preserve">11676817230b3d8050c451e6abad4e72569762649c2be47e09b8c3864258435e</t>
  </si>
  <si>
    <t xml:space="preserve">docs/pr-screenshots/coin-winner-css-ownership/mobile/12-deposit-warning.png</t>
  </si>
  <si>
    <t xml:space="preserve">1be0676907308d35b4cd6d35bc9aeb104a4430845d874d7325672696f82e5614</t>
  </si>
  <si>
    <t xml:space="preserve">docs/pr-screenshots/coin-winner-css-ownership/mobile/13-hotline-165.png</t>
  </si>
  <si>
    <t xml:space="preserve">9c7bee6b34b2250634ed2dc604b3294ce38e19e53374e18da73d2343ac92a1d6</t>
  </si>
  <si>
    <t xml:space="preserve">docs/pr-screenshots/coin-winner-css-ownership/mobile/14-topup-warning.png</t>
  </si>
  <si>
    <t xml:space="preserve">83891839529a7432cc9e624abed40f1a807d2c79e8400be78f0876e9b3cad77e</t>
  </si>
  <si>
    <t xml:space="preserve">docs/pr-screenshots/coin-winner-css-ownership/mobile/15-risk-disclosure.png</t>
  </si>
  <si>
    <t xml:space="preserve">2df82414b36e2e1e7d4dd9452dd69129773c37bffefc553c16294282012c53c1</t>
  </si>
  <si>
    <t xml:space="preserve">docs/pr-screenshots/coin-winner-css-ownership/mobile/16-warning-stopped.png</t>
  </si>
  <si>
    <t xml:space="preserve">37353de69b21fea629c436303179ca4f8b8c8ca8e6a421202c869fbb5dc2d078</t>
  </si>
  <si>
    <t xml:space="preserve">docs/pr-screenshots/final-global-css-ownership/README.md</t>
  </si>
  <si>
    <t xml:space="preserve">fadd33a0b0e64f8a41b9a9c38579c56952c5f80fc78b53be88dca1984cb4c2c6</t>
  </si>
  <si>
    <t xml:space="preserve">docs/pr-screenshots/final-global-css-ownership/desktop/01-entry-language.png</t>
  </si>
  <si>
    <t xml:space="preserve">cef5f4ab006b5c1ed66b1e2d9507f952ed7c62a0498d42fc46466bdc05d0f47c</t>
  </si>
  <si>
    <t xml:space="preserve">docs/pr-screenshots/final-global-css-ownership/desktop/03-entry-scenario-menu.png</t>
  </si>
  <si>
    <t xml:space="preserve">8de957251b9fdb5006640acbcc30d0acd0754357ecfc28ec4e66188ac744ebdd</t>
  </si>
  <si>
    <t xml:space="preserve">docs/pr-screenshots/final-global-css-ownership/desktop/04-staff-setup.png</t>
  </si>
  <si>
    <t xml:space="preserve">190e2ee9f134592af183946fc4b491219a1e82ff625c6fd4109e945d979fafa1</t>
  </si>
  <si>
    <t xml:space="preserve">docs/pr-screenshots/final-global-css-ownership/desktop/05-s01-briefing.png</t>
  </si>
  <si>
    <t xml:space="preserve">3cfa710dc4f5e56b63fa7efc6be812f45e8ef7a7a9e2f0aa1801fd817aca4398</t>
  </si>
  <si>
    <t xml:space="preserve">docs/pr-screenshots/final-global-css-ownership/desktop/06-s01-feed.png</t>
  </si>
  <si>
    <t xml:space="preserve">fca3802a8d6cc18e4ac2721d654ebb7d2b0f0d66bcbfcc116876b826d4074a09</t>
  </si>
  <si>
    <t xml:space="preserve">docs/pr-screenshots/final-global-css-ownership/desktop/15-s01-quiz-answered.png</t>
  </si>
  <si>
    <t xml:space="preserve">cac6095de8d95f946c4afa174f32839a24d65e7bc99d4c8e4e16c9ca1c42650d</t>
  </si>
  <si>
    <t xml:space="preserve">docs/pr-screenshots/final-global-css-ownership/desktop/20-s02-private-chat.png</t>
  </si>
  <si>
    <t xml:space="preserve">7b8643ffba2ed2adbc4765a1b11732b744429b2864e4f553394c8596aecb56b1</t>
  </si>
  <si>
    <t xml:space="preserve">docs/pr-screenshots/final-global-css-ownership/desktop/28-s03-ending-scammed.png</t>
  </si>
  <si>
    <t xml:space="preserve">1ec7de69d58c4863c82a550a8da309bf2f0adfbb6f9407251419ff2ed5f200bb</t>
  </si>
  <si>
    <t xml:space="preserve">docs/pr-screenshots/final-global-css-ownership/desktop/34-s04-result-scammed.png</t>
  </si>
  <si>
    <t xml:space="preserve">33540aeac06a4e2ad39370ca865fc2343a0c052b4f801b2cb91c6e4dc6ec828b</t>
  </si>
  <si>
    <t xml:space="preserve">docs/pr-screenshots/final-global-css-ownership/desktop/40-s05-ending-caught.png</t>
  </si>
  <si>
    <t xml:space="preserve">e38fc1d2fb63966c635843ec97268212c00fcc7363e4bc9eaf9513a8e384234e</t>
  </si>
  <si>
    <t xml:space="preserve">docs/pr-screenshots/final-global-css-ownership/mobile/01-entry-language.png</t>
  </si>
  <si>
    <t xml:space="preserve">e55e80047b9af689620badee828144aed56a6c63663f3aa95b3465dcf5273155</t>
  </si>
  <si>
    <t xml:space="preserve">docs/pr-screenshots/final-global-css-ownership/mobile/02-entry-ar-scan.png</t>
  </si>
  <si>
    <t xml:space="preserve">75839e22f85b94e43df9bae99a13b38526de938f152c9c567d17868b700e5409</t>
  </si>
  <si>
    <t xml:space="preserve">docs/pr-screenshots/final-global-css-ownership/mobile/03-entry-scenario-menu.png</t>
  </si>
  <si>
    <t xml:space="preserve">c12fe7e1aeba3b21fcf1a353e97848e3c856051c31ade290221646a51413ea00</t>
  </si>
  <si>
    <t xml:space="preserve">docs/pr-screenshots/final-global-css-ownership/mobile/04-staff-setup.png</t>
  </si>
  <si>
    <t xml:space="preserve">ebae10c6265f6aa1dc8ddbfc4aa41cefbaeec9d5b3d762bbfb15c77d7b95b049</t>
  </si>
  <si>
    <t xml:space="preserve">docs/pr-screenshots/final-global-css-ownership/mobile/05-s01-briefing.png</t>
  </si>
  <si>
    <t xml:space="preserve">83f062b4f983bf479d918513a4d92d512eadd7cb87b0182257669cc98c75d15f</t>
  </si>
  <si>
    <t xml:space="preserve">docs/pr-screenshots/final-global-css-ownership/mobile/06-s01-feed.png</t>
  </si>
  <si>
    <t xml:space="preserve">56b54380d7e09b0f2a6bb440a1c97e66e1f7d68a129aa09501bbcd41f295eed3</t>
  </si>
  <si>
    <t xml:space="preserve">docs/pr-screenshots/final-global-css-ownership/mobile/07-s01-video-teacher.png</t>
  </si>
  <si>
    <t xml:space="preserve">44dfb8fb65158b16517ca8a2feddd823539bc86c6d0e7b84074f5e49ea22fc73</t>
  </si>
  <si>
    <t xml:space="preserve">docs/pr-screenshots/final-global-css-ownership/mobile/08-s01-line-teacher.png</t>
  </si>
  <si>
    <t xml:space="preserve">0c3b7d3241102be31b746ef7ad316e63e3c516bbb1f4cb2b296d886689bcf93d</t>
  </si>
  <si>
    <t xml:space="preserve">docs/pr-screenshots/final-global-css-ownership/mobile/09-s01-platform-register.png</t>
  </si>
  <si>
    <t xml:space="preserve">3aa1f0d74c488871b9386e2a4ee23743d2d46e63ebb2934a1353cd7158caceb3</t>
  </si>
  <si>
    <t xml:space="preserve">docs/pr-screenshots/final-global-css-ownership/mobile/10-s01-profit.png</t>
  </si>
  <si>
    <t xml:space="preserve">029126bb86af89e8aeb72caa2c21afdf9c711ec75ea311d7e9f6909710098a58</t>
  </si>
  <si>
    <t xml:space="preserve">docs/pr-screenshots/final-global-css-ownership/mobile/11-s01-withdraw-fail.png</t>
  </si>
  <si>
    <t xml:space="preserve">0b961db374609f4fdfc9ed5691f9406dab59b7c244e0807d193e1bd8fb5c54e9</t>
  </si>
  <si>
    <t xml:space="preserve">docs/pr-screenshots/final-global-css-ownership/mobile/12-s01-scammed-result.png</t>
  </si>
  <si>
    <t xml:space="preserve">f851d67218719eb2a564d475437ecc3d2c3a498f0d2d9b3d0be182e783c32ac8</t>
  </si>
  <si>
    <t xml:space="preserve">docs/pr-screenshots/final-global-css-ownership/mobile/13-s01-stopped-result.png</t>
  </si>
  <si>
    <t xml:space="preserve">3d82ba4a1e2621faaff09674a461be9a17d8adbff4dcbeaf743ef53df5524c01</t>
  </si>
  <si>
    <t xml:space="preserve">docs/pr-screenshots/final-global-css-ownership/mobile/14-s01-quiz.png</t>
  </si>
  <si>
    <t xml:space="preserve">22bd9c47333b146f1d1432c55b402914fd1d3ccc94fe5a8c5f1e6a380875f674</t>
  </si>
  <si>
    <t xml:space="preserve">docs/pr-screenshots/final-global-css-ownership/mobile/15-s01-quiz-answered.png</t>
  </si>
  <si>
    <t xml:space="preserve">cc593a668a91bef657648a9a01931a004bbd0014cdeaa0c1baa7f723694c0a23</t>
  </si>
  <si>
    <t xml:space="preserve">docs/pr-screenshots/final-global-css-ownership/mobile/16-s02-briefing.png</t>
  </si>
  <si>
    <t xml:space="preserve">78fe8ee497c522bd5e687cfaf22e7910c26e783ec9492d48e2e426d4ad7c7245</t>
  </si>
  <si>
    <t xml:space="preserve">docs/pr-screenshots/final-global-css-ownership/mobile/17-s02-phone-desktop.png</t>
  </si>
  <si>
    <t xml:space="preserve">dc4236228ade93af3e1fc3c5bff0de79069a9f758b1fd4cff589c6732b1087ba</t>
  </si>
  <si>
    <t xml:space="preserve">docs/pr-screenshots/final-global-css-ownership/mobile/18-s02-dating-browse.png</t>
  </si>
  <si>
    <t xml:space="preserve">b49d87e4dd1c4f7843c0ed6a14d84a41b2f9e83961ab95730dcaa41a5a7ee4b9</t>
  </si>
  <si>
    <t xml:space="preserve">docs/pr-screenshots/final-global-css-ownership/mobile/19-s02-dating-chat.png</t>
  </si>
  <si>
    <t xml:space="preserve">ef08b19e1e88034d88dbe523254249fc0ae4cf472a6e07c350b9ab962907e4bb</t>
  </si>
  <si>
    <t xml:space="preserve">docs/pr-screenshots/final-global-css-ownership/mobile/20-s02-private-chat.png</t>
  </si>
  <si>
    <t xml:space="preserve">22d633787e594efd89816b042f7dbb90be0e1c7640bbcc2e8654ac8aca30b2a9</t>
  </si>
  <si>
    <t xml:space="preserve">docs/pr-screenshots/final-global-css-ownership/mobile/21-s02-risk-analysis.png</t>
  </si>
  <si>
    <t xml:space="preserve">e027eed67591918fb00aee2db8233b6abd0f301536a8d4dfb2163ab95f6ffc23</t>
  </si>
  <si>
    <t xml:space="preserve">docs/pr-screenshots/final-global-css-ownership/mobile/22-s02-scammed-result.png</t>
  </si>
  <si>
    <t xml:space="preserve">8f55b52867d63a7757e0e69d424707829235928796462334e3d79bb5b1ffa138</t>
  </si>
  <si>
    <t xml:space="preserve">docs/pr-screenshots/final-global-css-ownership/mobile/23-s02-stopped-result.png</t>
  </si>
  <si>
    <t xml:space="preserve">e98fb5cd5f3fa222226f1e56e3b87572446a3c791ea264b8c0297a4c33d9630d</t>
  </si>
  <si>
    <t xml:space="preserve">docs/pr-screenshots/final-global-css-ownership/mobile/24-s02-quiz.png</t>
  </si>
  <si>
    <t xml:space="preserve">d9199178ae5f0058bcdd7c7794f812e415f57ca382de4969d54fc530f3837683</t>
  </si>
  <si>
    <t xml:space="preserve">docs/pr-screenshots/final-global-css-ownership/mobile/25-s03-briefing.png</t>
  </si>
  <si>
    <t xml:space="preserve">60f17b5dd2537c8561af594408453ccf8f1dc438ea2075694a884595fec02993</t>
  </si>
  <si>
    <t xml:space="preserve">docs/pr-screenshots/final-global-css-ownership/mobile/26-s03-phone-home.png</t>
  </si>
  <si>
    <t xml:space="preserve">96da404b284f5c88dd94e6f709b47bc152274be1ebfc20edcbae4b4c3fe8a4ad</t>
  </si>
  <si>
    <t xml:space="preserve">docs/pr-screenshots/final-global-css-ownership/mobile/27-s03-bank.png</t>
  </si>
  <si>
    <t xml:space="preserve">82e965b68861f1861cb128fdac099d059e156de1f48cfc2b957872b2a2802b9e</t>
  </si>
  <si>
    <t xml:space="preserve">docs/pr-screenshots/final-global-css-ownership/mobile/28-s03-ending-scammed.png</t>
  </si>
  <si>
    <t xml:space="preserve">dd5413054a99122e8786b6239fed5c683d825aeb3bb0a5c6b44764bb87be509e</t>
  </si>
  <si>
    <t xml:space="preserve">docs/pr-screenshots/final-global-css-ownership/mobile/29-s03-ending-verified.png</t>
  </si>
  <si>
    <t xml:space="preserve">docs/pr-screenshots/final-global-css-ownership/mobile/30-s03-quiz.png</t>
  </si>
  <si>
    <t xml:space="preserve">68e27ea959ea180894896533cfe427df26df4e857f71e83ab0e3b3304ca55b05</t>
  </si>
  <si>
    <t xml:space="preserve">docs/pr-screenshots/final-global-css-ownership/mobile/31-s04-briefing.png</t>
  </si>
  <si>
    <t xml:space="preserve">ac08de4ccc3c72b60ea193bbcccfc3ff20690fe314f26aaec913130124533091</t>
  </si>
  <si>
    <t xml:space="preserve">docs/pr-screenshots/final-global-css-ownership/mobile/32-s04-phone-home.png</t>
  </si>
  <si>
    <t xml:space="preserve">1bb28754bbefba887368b50b2ae623430c2e078718604f0c0d814c2745ba9976</t>
  </si>
  <si>
    <t xml:space="preserve">docs/pr-screenshots/final-global-css-ownership/mobile/33-s04-home.png</t>
  </si>
  <si>
    <t xml:space="preserve">8763fb23f676b6c4944d8d09044679aabaa060526a3a20febb23f36810013242</t>
  </si>
  <si>
    <t xml:space="preserve">docs/pr-screenshots/final-global-css-ownership/mobile/34-s04-result-scammed.png</t>
  </si>
  <si>
    <t xml:space="preserve">65e094d970bd3dd4a0b0709d8899830a2860f6395be0766b5130201ee9761c37</t>
  </si>
  <si>
    <t xml:space="preserve">docs/pr-screenshots/final-global-css-ownership/mobile/35-s04-result-stopped.png</t>
  </si>
  <si>
    <t xml:space="preserve">docs/pr-screenshots/final-global-css-ownership/mobile/36-s04-quiz.png</t>
  </si>
  <si>
    <t xml:space="preserve">bc420a37d067793155757b7d0d6ae7ee01f1e45f79083562bfae055bf1d76d70</t>
  </si>
  <si>
    <t xml:space="preserve">docs/pr-screenshots/final-global-css-ownership/mobile/37-s05-briefing.png</t>
  </si>
  <si>
    <t xml:space="preserve">0909781f903b892909a7b302a1f7e8353e4b5feeac42ffdb5eaa76380f0d64f6</t>
  </si>
  <si>
    <t xml:space="preserve">docs/pr-screenshots/final-global-css-ownership/mobile/38-s05-phone-home.png</t>
  </si>
  <si>
    <t xml:space="preserve">4d5c33c03a1e241ef66d739a9e08f2f2bf10e756f1f5fc8bec8bd83638e4f79b</t>
  </si>
  <si>
    <t xml:space="preserve">docs/pr-screenshots/final-global-css-ownership/mobile/39-s05-home.png</t>
  </si>
  <si>
    <t xml:space="preserve">cf37c26ced577880c10cba420f3714503c7c85ab18082eed1e2f8a0e77c997df</t>
  </si>
  <si>
    <t xml:space="preserve">docs/pr-screenshots/final-global-css-ownership/mobile/40-s05-ending-caught.png</t>
  </si>
  <si>
    <t xml:space="preserve">3b406a3ead84f2208e738db51ac9a902e272265deadcfe92ee6419561af95af3</t>
  </si>
  <si>
    <t xml:space="preserve">docs/pr-screenshots/final-global-css-ownership/mobile/41-s05-ending-scammed.png</t>
  </si>
  <si>
    <t xml:space="preserve">dea264b0e01aa78d37cd7a90d11fe20380186d726192ca7cdd5541229e508978</t>
  </si>
  <si>
    <t xml:space="preserve">docs/pr-screenshots/final-global-css-ownership/mobile/42-s05-reveal.png</t>
  </si>
  <si>
    <t xml:space="preserve">00f0760e9f3f635c8f65adf1282c6bfae40274258d4981629d8bfedc50aae579</t>
  </si>
  <si>
    <t xml:space="preserve">docs/pr-screenshots/final-global-css-ownership/mobile/43-s05-quiz.png</t>
  </si>
  <si>
    <t xml:space="preserve">4c76ac5a06ff5105317139999f373c1ff76ed7e0ebc2f3d60536d01bae3926ca</t>
  </si>
  <si>
    <t xml:space="preserve">docs/pr-screenshots/scenario01-consistency-fix/en-1-line-teacher-header.png</t>
  </si>
  <si>
    <t xml:space="preserve">bf8acb419da13d305fcf4d9f83b7c9beccc31104e06d7182f422a132967f34f7</t>
  </si>
  <si>
    <t xml:space="preserve">docs/pr-screenshots/scenario01-consistency-fix/en-2-vip-group-assistant.png</t>
  </si>
  <si>
    <t xml:space="preserve">8ce9710c94173170e42c710cc877e7361aa2aaea48d3b829972e2ec43427ea8e</t>
  </si>
  <si>
    <t xml:space="preserve">docs/pr-screenshots/scenario01-consistency-fix/en-3-register-no-cta.png</t>
  </si>
  <si>
    <t xml:space="preserve">bcc152a807166d26733a52a539e116eeae2c74413fcba9236d13bcd4ee543945</t>
  </si>
  <si>
    <t xml:space="preserve">docs/pr-screenshots/scenario01-consistency-fix/en-4-deposit-offer-no-cta.png</t>
  </si>
  <si>
    <t xml:space="preserve">dca08d137420f3cbfe361a9898f20e1dfb1ad4f4474676f1d7389dc1afa6c7d4</t>
  </si>
  <si>
    <t xml:space="preserve">docs/pr-screenshots/scenario01-consistency-fix/en-5-deposit-success-no-cta.png</t>
  </si>
  <si>
    <t xml:space="preserve">95811b1b68bbb1b80ee60b594eff2420f6ef6f8d5d3d4fa7da378497ff3156dd</t>
  </si>
  <si>
    <t xml:space="preserve">docs/pr-screenshots/scenario01-consistency-fix/en-6-funded-cta-appears.png</t>
  </si>
  <si>
    <t xml:space="preserve">4eeb0106c33d884e81dffd8330783094be2076599e2c59911a77ad657cf303a7</t>
  </si>
  <si>
    <t xml:space="preserve">docs/pr-screenshots/scenario01-consistency-fix/en-7-holdings-next-step.png</t>
  </si>
  <si>
    <t xml:space="preserve">c8b502fd1b7dba121e62f5541dc11eab55321674bd2ea44410b8b616833abd50</t>
  </si>
  <si>
    <t xml:space="preserve">docs/pr-screenshots/scenario01-consistency-fix/jp-1-line-teacher-header.png</t>
  </si>
  <si>
    <t xml:space="preserve">1503a5692aee26e83268831650f68590b6a990f20a41b4464f507731352402e4</t>
  </si>
  <si>
    <t xml:space="preserve">docs/pr-screenshots/scenario01-consistency-fix/jp-2-vip-group-assistant.png</t>
  </si>
  <si>
    <t xml:space="preserve">d27dd5cf60f4652f8435d99dc6934638519ab9cb9fe276c9bb842fedb7de71c8</t>
  </si>
  <si>
    <t xml:space="preserve">docs/pr-screenshots/scenario01-consistency-fix/jp-3-register-no-cta.png</t>
  </si>
  <si>
    <t xml:space="preserve">8c230b63294ad64156005dcfe8ed88ab2fccb60e85e1366db224e21fd0df215e</t>
  </si>
  <si>
    <t xml:space="preserve">docs/pr-screenshots/scenario01-consistency-fix/jp-4-deposit-offer-no-cta.png</t>
  </si>
  <si>
    <t xml:space="preserve">84da678fe2393fa9ad48dd6bb6d1bd349319b9be43877e216035b62bf6babe02</t>
  </si>
  <si>
    <t xml:space="preserve">docs/pr-screenshots/scenario01-consistency-fix/jp-5-deposit-success-no-cta.png</t>
  </si>
  <si>
    <t xml:space="preserve">5d7a9fbb064f5263627b3a2883abb5fb3a987470b93a15889bb8df1851fa4b65</t>
  </si>
  <si>
    <t xml:space="preserve">docs/pr-screenshots/scenario01-consistency-fix/jp-6-funded-cta-appears.png</t>
  </si>
  <si>
    <t xml:space="preserve">757b8edea4a5d24979b8ead90688e3e522ee6b7c672a47bc0438abf1b00c0bec</t>
  </si>
  <si>
    <t xml:space="preserve">docs/pr-screenshots/scenario01-consistency-fix/jp-7-holdings-next-step.png</t>
  </si>
  <si>
    <t xml:space="preserve">719f2dd023e9a59c05c2ed8a4d953f883c43daf8f70aa4dffb7a5dff80b5f128</t>
  </si>
  <si>
    <t xml:space="preserve">docs/pr-screenshots/scenario01-consistency-fix/zh-1-line-teacher-header.png</t>
  </si>
  <si>
    <t xml:space="preserve">d5aaa291902de4d1e78fe5df1d2b55223b174e49b6b8b8711bd30ef75373bf08</t>
  </si>
  <si>
    <t xml:space="preserve">docs/pr-screenshots/scenario01-consistency-fix/zh-2-vip-group-assistant.png</t>
  </si>
  <si>
    <t xml:space="preserve">caee5ffa55fd889e25daae5e52c659ee49df9bb9617d3a2e77b256f4627debd8</t>
  </si>
  <si>
    <t xml:space="preserve">docs/pr-screenshots/scenario01-consistency-fix/zh-3-register-no-cta.png</t>
  </si>
  <si>
    <t xml:space="preserve">7c8862a55394824058ff6b06d81f503f245c85b3e11a6b72998ae4ab445286af</t>
  </si>
  <si>
    <t xml:space="preserve">docs/pr-screenshots/scenario01-consistency-fix/zh-4-deposit-offer-no-cta.png</t>
  </si>
  <si>
    <t xml:space="preserve">54157e2d57e7b99be7c6d12d101a3954f84f5bf6cc41a1676346f83d27b8bfb8</t>
  </si>
  <si>
    <t xml:space="preserve">docs/pr-screenshots/scenario01-consistency-fix/zh-5-deposit-success-no-cta.png</t>
  </si>
  <si>
    <t xml:space="preserve">b47c16e8fdf29e298f0aebc264fdd1ae1ea6c49dfd2eefad75aa8a9e21999996</t>
  </si>
  <si>
    <t xml:space="preserve">docs/pr-screenshots/scenario01-consistency-fix/zh-6-funded-cta-appears.png</t>
  </si>
  <si>
    <t xml:space="preserve">942618117150892fb711346b3bcc3dbbc485df5197d5aadb939ab6683bb46e95</t>
  </si>
  <si>
    <t xml:space="preserve">docs/pr-screenshots/scenario01-consistency-fix/zh-7-holdings-next-step.png</t>
  </si>
  <si>
    <t xml:space="preserve">e9895ccf306368efc59c3163a5c517c90a9d84de3c8a8f09d7a7cb71e4a562d9</t>
  </si>
  <si>
    <t xml:space="preserve">docs/pr-screenshots/scenario01-en-jp/en-line-teacher-choices.png</t>
  </si>
  <si>
    <t xml:space="preserve">58db13392edbc2acde1054e0d601dd71c2e08f9430010ddbd8d54c242f9e67df</t>
  </si>
  <si>
    <t xml:space="preserve">docs/pr-screenshots/scenario01-en-jp/en-profit.png</t>
  </si>
  <si>
    <t xml:space="preserve">99fe1fcf4e10d82c6607f1ee5a0df1e143e054a80198d780942aa3fe73012807</t>
  </si>
  <si>
    <t xml:space="preserve">docs/pr-screenshots/scenario01-en-jp/en-quiz.png</t>
  </si>
  <si>
    <t xml:space="preserve">f9ee131307f59dff5977e5eb9d399002817993c7868f5f66cc84cefab2a2871a</t>
  </si>
  <si>
    <t xml:space="preserve">docs/pr-screenshots/scenario01-en-jp/en-video-teacher.png</t>
  </si>
  <si>
    <t xml:space="preserve">d2a35d8b6e0641001c7516a17696f262f05969a545837411840e52c81076a6a6</t>
  </si>
  <si>
    <t xml:space="preserve">docs/pr-screenshots/scenario01-en-jp/en-vip-group-modal.png</t>
  </si>
  <si>
    <t xml:space="preserve">902bcc1b43e49b58cccfcf0e6a84cf51b2de1f9cc67924e289e82ee448bdc0cf</t>
  </si>
  <si>
    <t xml:space="preserve">docs/pr-screenshots/scenario01-en-jp/en-withdraw-fail.png</t>
  </si>
  <si>
    <t xml:space="preserve">5ad192e4ac92e22fd2c4acfe26463c9bd97b1ad7862bfdaa9f85be229fc6e23c</t>
  </si>
  <si>
    <t xml:space="preserve">docs/pr-screenshots/scenario01-en-jp/jp-line-teacher-branch-B.png</t>
  </si>
  <si>
    <t xml:space="preserve">aa6feb9b489b97eb4aff7c16f711f12847ac5daa0607c284bed4e53c37b328a7</t>
  </si>
  <si>
    <t xml:space="preserve">docs/pr-screenshots/scenario01-en-jp/jp-page165.png</t>
  </si>
  <si>
    <t xml:space="preserve">15be79e8ce2cf25b7650cf7cc928e397d67d718dd44594be73bc95ca502a1dbb</t>
  </si>
  <si>
    <t xml:space="preserve">docs/pr-screenshots/scenario01-en-jp/jp-profit.png</t>
  </si>
  <si>
    <t xml:space="preserve">46d0d1a8bc8c2d8625929fcf93583359936c9b05f93ba04fb72be99aae9198cf</t>
  </si>
  <si>
    <t xml:space="preserve">docs/pr-screenshots/scenario01-en-jp/jp-video-teacher.png</t>
  </si>
  <si>
    <t xml:space="preserve">d2174677362f0c2dddcb2773ed69b5547104e5367137ad9ae610ed8d321ccc1e</t>
  </si>
  <si>
    <t xml:space="preserve">docs/pr-screenshots/scenario01-en-jp/jp-vip-group-modal.png</t>
  </si>
  <si>
    <t xml:space="preserve">63f99234cfcf60fd15e53a390a94df955f8dfc8baab3514e31cc1be4c663a8bc</t>
  </si>
  <si>
    <t xml:space="preserve">docs/pr-screenshots/scenario02-check-then-return/01-line-she-asks-first-check.png</t>
  </si>
  <si>
    <t xml:space="preserve">5f2558cbd007f1017cae328ce881c59d74689a9a64a838d6d018974b05eb61e0</t>
  </si>
  <si>
    <t xml:space="preserve">docs/pr-screenshots/scenario02-check-then-return/02-coin-winner-first-profit.png</t>
  </si>
  <si>
    <t xml:space="preserve">86240ab36043934624d11f410c54864a06c6d02469d10cbd1513b57483c9a3b5</t>
  </si>
  <si>
    <t xml:space="preserve">docs/pr-screenshots/scenario02-check-then-return/03-line-report-then-name-choice.png</t>
  </si>
  <si>
    <t xml:space="preserve">9527e9ecab72397bc0e82b4992fc4fa443c97a508ffa9b8d4c095bbf36f9bbe0</t>
  </si>
  <si>
    <t xml:space="preserve">docs/pr-screenshots/scenario02-check-then-return/04-line-she-asks-second-check.png</t>
  </si>
  <si>
    <t xml:space="preserve">09db5e161e746370b96d74c07ee191729ad7af4dc20dc5d8ecb4fe63e8f077ec</t>
  </si>
  <si>
    <t xml:space="preserve">docs/pr-screenshots/scenario02-check-then-return/05-coin-winner-grown-profit.png</t>
  </si>
  <si>
    <t xml:space="preserve">7e2f2e30d2984eaed7ba10527e76c9801cbbea01cdeb7f75d3e12b770a40fde3</t>
  </si>
  <si>
    <t xml:space="preserve">docs/pr-screenshots/scenario02-check-then-return/06-line-withdraw-choice.png</t>
  </si>
  <si>
    <t xml:space="preserve">ece414277632c5f0c2e2ac2efc5a8f84e081f2b7ca2fdf34496450183f095003</t>
  </si>
  <si>
    <t xml:space="preserve">docs/pr-screenshots/scenario02-check-then-return/07-line-withdraw-accept.png</t>
  </si>
  <si>
    <t xml:space="preserve">ef4dd7e4c7a6b23357b078c3f62f9c75bf5862fa7cf131865c8c8061b3239000</t>
  </si>
  <si>
    <t xml:space="preserve">docs/pr-screenshots/scenario02-check-then-return/08-line-withdraw-decline-merges-back.png</t>
  </si>
  <si>
    <t xml:space="preserve">150d58c966b36d7bfa5b4ded89ddfd52e775c0159af5a4f09e2c505c1eb7b227</t>
  </si>
  <si>
    <t xml:space="preserve">docs/pr-screenshots/scenario02-check-then-return/09-coin-winner-withdrawal.png</t>
  </si>
  <si>
    <t xml:space="preserve">7c6a66cdc2a09067ce75679265e9c78c35448add9a10725342f5d23d93de1954</t>
  </si>
  <si>
    <t xml:space="preserve">docs/pr-screenshots/scenario02-check-then-return/README.md</t>
  </si>
  <si>
    <t xml:space="preserve">330cf7394830d4080b2ffad339c41f99394710ad089e1b4dff5251d40bdc1870</t>
  </si>
  <si>
    <t xml:space="preserve">docs/pr-screenshots/scenario02-video-autoplay-line-card/README.md</t>
  </si>
  <si>
    <t xml:space="preserve">6b37de9a403e7c8787c96b344a706ef58aaaeedbd042275dcbbcab093809fa66</t>
  </si>
  <si>
    <t xml:space="preserve">docs/pr-screenshots/scenario02-video-autoplay-line-card/after-video-1.png</t>
  </si>
  <si>
    <t xml:space="preserve">784ddf59a11e225daceb280d95a5cc656e70ecbb31fba395f3e33e5b2708034e</t>
  </si>
  <si>
    <t xml:space="preserve">docs/pr-screenshots/scenario02-video-autoplay-line-card/after-video-2.png</t>
  </si>
  <si>
    <t xml:space="preserve">f5785c927586fcaafe4c8c348c828c2e1ded059c13df560856a3ee7e321e4184</t>
  </si>
  <si>
    <t xml:space="preserve">docs/pr-screenshots/scenario02-video-autoplay-line-card/after-video-3.png</t>
  </si>
  <si>
    <t xml:space="preserve">b39b52d16beb6b60598bd4b48aca7f45dd9322479fd1fcbb704aa626ba068caa</t>
  </si>
  <si>
    <t xml:space="preserve">docs/pr-screenshots/scenario02-video-autoplay-line-card/before-video-1.png</t>
  </si>
  <si>
    <t xml:space="preserve">c9dd718c27f519f9da03ce3c6f96e4e02b0dc83d58198fb40be4b21deeb6f239</t>
  </si>
  <si>
    <t xml:space="preserve">docs/pr-screenshots/scenario02-video-autoplay-line-card/before-video-2.png</t>
  </si>
  <si>
    <t xml:space="preserve">docs/pr-screenshots/scenario02-video-autoplay-line-card/line-coin-winner-website-card.png</t>
  </si>
  <si>
    <t xml:space="preserve">5b48f9e924497b33314ce3d3cb22952963d1dcd0bb75bc1a3a2b5a476e65b04a</t>
  </si>
  <si>
    <t xml:space="preserve">docs/pr-screenshots/scenario05-en-jp/en-bankverify.png</t>
  </si>
  <si>
    <t xml:space="preserve">22b40e2e2373a16069db5ed0943a9c4cf477060d4718bbe02b8d5f123515d625</t>
  </si>
  <si>
    <t xml:space="preserve">docs/pr-screenshots/scenario05-en-jp/en-buyerchat.png</t>
  </si>
  <si>
    <t xml:space="preserve">06e1da3612bcac20af1d97a9b8d25d75e5898f443a3ed954bd48e246abd59bac</t>
  </si>
  <si>
    <t xml:space="preserve">docs/pr-screenshots/scenario05-en-jp/en-cschat.png</t>
  </si>
  <si>
    <t xml:space="preserve">3978edd457d011c020869918aa6c1882470f4a6d3d3e6f4701959adcbd331a65</t>
  </si>
  <si>
    <t xml:space="preserve">docs/pr-screenshots/scenario05-en-jp/en-ending-caught.png</t>
  </si>
  <si>
    <t xml:space="preserve">1fabf878912955ed7eb398df66d164717e48845d91b9507a0fa668149f84bc88</t>
  </si>
  <si>
    <t xml:space="preserve">docs/pr-screenshots/scenario05-en-jp/en-ending-scammed.png</t>
  </si>
  <si>
    <t xml:space="preserve">1cb02801b76ad0a4ec08b1716292d54ff4dad65a0418b23f0a677797702dc37f</t>
  </si>
  <si>
    <t xml:space="preserve">docs/pr-screenshots/scenario05-en-jp/en-orderdetail.png</t>
  </si>
  <si>
    <t xml:space="preserve">4c4f3080b3c478452b74331fee61f88e3eafda90209efad4b436c665ca4bec47</t>
  </si>
  <si>
    <t xml:space="preserve">docs/pr-screenshots/scenario05-en-jp/en-product-select.png</t>
  </si>
  <si>
    <t xml:space="preserve">f433746fce3f2f258fc2c74ba15fa6ea5b7f3fd0abde80de78e518ba090aab23</t>
  </si>
  <si>
    <t xml:space="preserve">docs/pr-screenshots/scenario05-en-jp/en-quiz-result.png</t>
  </si>
  <si>
    <t xml:space="preserve">37e66c6f3ec14f8c50f83ef05e8a2d51866ce8cc565b9d03966ec47e6e1262ea</t>
  </si>
  <si>
    <t xml:space="preserve">docs/pr-screenshots/scenario05-en-jp/en-quiz.png</t>
  </si>
  <si>
    <t xml:space="preserve">3e68b95bb5510194112b288fa371b86f890709726cc988f97f2f440a0b18227c</t>
  </si>
  <si>
    <t xml:space="preserve">docs/pr-screenshots/scenario05-en-jp/en-reveal.png</t>
  </si>
  <si>
    <t xml:space="preserve">63702da5eba8950d6fa225cb7f315fae7d0e61f14d4c8b792e722b2b43da11aa</t>
  </si>
  <si>
    <t xml:space="preserve">docs/pr-screenshots/scenario05-en-jp/en-shopcreate.png</t>
  </si>
  <si>
    <t xml:space="preserve">e84f3efc9fb8e7b0cf172f9a6ff1c951799ac114c0f0709ac69bb5ecc2eec57a</t>
  </si>
  <si>
    <t xml:space="preserve">docs/pr-screenshots/scenario05-en-jp/jp-bankverify.png</t>
  </si>
  <si>
    <t xml:space="preserve">8511bef9675d9c875a87304d0c593aed713fdf84bd49adfb64a12eea0cc6ebd4</t>
  </si>
  <si>
    <t xml:space="preserve">docs/pr-screenshots/scenario05-en-jp/jp-buyerchat.png</t>
  </si>
  <si>
    <t xml:space="preserve">ad12af7552c94c3e0d94de0ed02a4f400bd4f6c79c8befb9f69b04c45dbaa66f</t>
  </si>
  <si>
    <t xml:space="preserve">docs/pr-screenshots/scenario05-en-jp/jp-cschat.png</t>
  </si>
  <si>
    <t xml:space="preserve">3743d08797a4914af78eb18997f49416eee5c0e9ec87768bf6ea17759832b5f4</t>
  </si>
  <si>
    <t xml:space="preserve">docs/pr-screenshots/scenario05-en-jp/jp-ending-caught.png</t>
  </si>
  <si>
    <t xml:space="preserve">07625e3ffaebb6ce7ee40c2ff65125bc8571c2fab24de45e52a9375fb06dd8b6</t>
  </si>
  <si>
    <t xml:space="preserve">docs/pr-screenshots/scenario05-en-jp/jp-ending-scammed.png</t>
  </si>
  <si>
    <t xml:space="preserve">33b06dbbeae71a252fe67a8ebebb4965b9fb19a8a3daf6cecbdc422eb36f7880</t>
  </si>
  <si>
    <t xml:space="preserve">docs/pr-screenshots/scenario05-en-jp/jp-orderdetail.png</t>
  </si>
  <si>
    <t xml:space="preserve">90ac053848dd6f06b5483ac82596c21288b562e7f5621d2d64b1297aab113430</t>
  </si>
  <si>
    <t xml:space="preserve">docs/pr-screenshots/scenario05-en-jp/jp-product-select.png</t>
  </si>
  <si>
    <t xml:space="preserve">614274b9a631822b386ab910e24f121690db0d0499ff6f1648fdee101880f722</t>
  </si>
  <si>
    <t xml:space="preserve">docs/pr-screenshots/scenario05-en-jp/jp-quiz-result.png</t>
  </si>
  <si>
    <t xml:space="preserve">323003082acd654852ae7c5a370121aa6a31456328f6aa678ad57ab915b3aa3f</t>
  </si>
  <si>
    <t xml:space="preserve">docs/pr-screenshots/scenario05-en-jp/jp-quiz.png</t>
  </si>
  <si>
    <t xml:space="preserve">43742d871cdc81a1bc8f132b14722b485b0fe358e2135cefaadef776d6302a2c</t>
  </si>
  <si>
    <t xml:space="preserve">docs/pr-screenshots/scenario05-en-jp/jp-reveal.png</t>
  </si>
  <si>
    <t xml:space="preserve">0506b78cdd3d20421782fb89e4eb47abf643fda1d783fe35364532d2178b18a2</t>
  </si>
  <si>
    <t xml:space="preserve">docs/pr-screenshots/scenario05-en-jp/jp-shopcreate.png</t>
  </si>
  <si>
    <t xml:space="preserve">f6b3e7c0a9e378fea75057ba3d508d9698fc43adfb5d749bf8437c83f2f60888</t>
  </si>
  <si>
    <t xml:space="preserve">docs/pr-screenshots/shared-line-css-ownership/README.md</t>
  </si>
  <si>
    <t xml:space="preserve">fa8fda58beda14b5d094b08a3f00641fad9fb2d680e3273cdb34227297ea0b44</t>
  </si>
  <si>
    <t xml:space="preserve">docs/pr-screenshots/shared-line-css-ownership/desktop/s01-line-teacher-a-initial.png</t>
  </si>
  <si>
    <t xml:space="preserve">2472c0cb1f71c9640f8540350084ae3e8208129fa16f410b2ac13c0937121adb</t>
  </si>
  <si>
    <t xml:space="preserve">docs/pr-screenshots/shared-line-css-ownership/desktop/s01-line-teacher-quick-replies.png</t>
  </si>
  <si>
    <t xml:space="preserve">docs/pr-screenshots/shared-line-css-ownership/desktop/s01-vip-group-scroll-top.png</t>
  </si>
  <si>
    <t xml:space="preserve">48d511c75e6f450f5dd9bcc8925e9145410960b7552b5c963223444400baacd1</t>
  </si>
  <si>
    <t xml:space="preserve">docs/pr-screenshots/shared-line-css-ownership/desktop/s02-private-chat-quick-replies.png</t>
  </si>
  <si>
    <t xml:space="preserve">873c3c2cb89f14b22eb2fb836200b4e62dec45b641513cf660b99b6e121ba868</t>
  </si>
  <si>
    <t xml:space="preserve">docs/pr-screenshots/shared-line-css-ownership/desktop/s02-private-chat-video-thumb.png</t>
  </si>
  <si>
    <t xml:space="preserve">6cd3fe04654926c4b518d65a018c095025c4257cbfbd73cb38bd65453102ebef</t>
  </si>
  <si>
    <t xml:space="preserve">docs/pr-screenshots/shared-line-css-ownership/desktop/s03-line-add-b-warning.png</t>
  </si>
  <si>
    <t xml:space="preserve">8401b94980e9abf9312a0174c11e7add09210eb7d8442ea7c9a90e3f9ce14c24</t>
  </si>
  <si>
    <t xml:space="preserve">docs/pr-screenshots/shared-line-css-ownership/desktop/s03-line-custody-a-initial.png</t>
  </si>
  <si>
    <t xml:space="preserve">abdf4f34f575ee82ce525b02232d95043f6f86e3b8f0e80498b4bc33f17bce24</t>
  </si>
  <si>
    <t xml:space="preserve">docs/pr-screenshots/shared-line-css-ownership/desktop/s03-line-intro-a-initial.png</t>
  </si>
  <si>
    <t xml:space="preserve">4d38385e986a63eeca48b45b86a5836aec384aba4a544d7173019475d4e32c3e</t>
  </si>
  <si>
    <t xml:space="preserve">docs/pr-screenshots/shared-line-css-ownership/mobile/s01-line-teacher-a-initial.png</t>
  </si>
  <si>
    <t xml:space="preserve">9d9cb0e5b536b987310c0e811f1e0120e4aa271ff4a1e949da35e068b9bf4e2b</t>
  </si>
  <si>
    <t xml:space="preserve">docs/pr-screenshots/shared-line-css-ownership/mobile/s01-line-teacher-player-bubble.png</t>
  </si>
  <si>
    <t xml:space="preserve">e95a9110da5bf8d781880ce751b11c633e2a5d26badedcacc5fcbc8e78735932</t>
  </si>
  <si>
    <t xml:space="preserve">docs/pr-screenshots/shared-line-css-ownership/mobile/s01-line-teacher-quick-replies.png</t>
  </si>
  <si>
    <t xml:space="preserve">docs/pr-screenshots/shared-line-css-ownership/mobile/s01-line-teacher-scroll-top.png</t>
  </si>
  <si>
    <t xml:space="preserve">1a2f7005c3c6a937b2403e5e4209fff91b96aa3173d6e994f32b140fb7e0e067</t>
  </si>
  <si>
    <t xml:space="preserve">docs/pr-screenshots/shared-line-css-ownership/mobile/s01-vip-group-b-full.png</t>
  </si>
  <si>
    <t xml:space="preserve">e0c7ab0c5733ad7628693bbfe4361315fe51080b5d7426dc414c70386c3bf6bc</t>
  </si>
  <si>
    <t xml:space="preserve">docs/pr-screenshots/shared-line-css-ownership/mobile/s01-vip-group-scroll-top.png</t>
  </si>
  <si>
    <t xml:space="preserve">e8bdffd8d426b39cf28169a46400d07b361505c6ecb1101d7a5aa1a10a772188</t>
  </si>
  <si>
    <t xml:space="preserve">docs/pr-screenshots/shared-line-css-ownership/mobile/s02-private-chat-a-initial.png</t>
  </si>
  <si>
    <t xml:space="preserve">d3a76c8204f9ef63d1cfa965b6beab329bf9b6159759720ead80d52a97e31af9</t>
  </si>
  <si>
    <t xml:space="preserve">docs/pr-screenshots/shared-line-css-ownership/mobile/s02-private-chat-photo-lightbox.png</t>
  </si>
  <si>
    <t xml:space="preserve">55b45f2a28a20294fddf3fd4f01f0d69a530b672f859ed2ca70a7921cc345605</t>
  </si>
  <si>
    <t xml:space="preserve">docs/pr-screenshots/shared-line-css-ownership/mobile/s02-private-chat-photo-thumb.png</t>
  </si>
  <si>
    <t xml:space="preserve">cd6db4f17ce7050c41354f929be56120797fac5bf4de1ecfee361fd516748980</t>
  </si>
  <si>
    <t xml:space="preserve">docs/pr-screenshots/shared-line-css-ownership/mobile/s02-private-chat-player-bubble.png</t>
  </si>
  <si>
    <t xml:space="preserve">15acac40145156e4428e0d54990bf31cfe7df9edbfc93cd1f186253974068f38</t>
  </si>
  <si>
    <t xml:space="preserve">docs/pr-screenshots/shared-line-css-ownership/mobile/s02-private-chat-quick-replies.png</t>
  </si>
  <si>
    <t xml:space="preserve">docs/pr-screenshots/shared-line-css-ownership/mobile/s02-private-chat-scroll-top.png</t>
  </si>
  <si>
    <t xml:space="preserve">23de472cde5488c4ca91881a17a99da117a0681b7969f001017c5e2fa6140e05</t>
  </si>
  <si>
    <t xml:space="preserve">docs/pr-screenshots/shared-line-css-ownership/mobile/s02-private-chat-video-overlay.png</t>
  </si>
  <si>
    <t xml:space="preserve">8915f470c512db9f49e10739e9d3e84d07b82d363c641ed0f8cbf057266c68dd</t>
  </si>
  <si>
    <t xml:space="preserve">docs/pr-screenshots/shared-line-css-ownership/mobile/s02-private-chat-video-thumb.png</t>
  </si>
  <si>
    <t xml:space="preserve">054616c34eef1d5a6ddd290458ea29cc9ac7c355510f2ea8cde90c597a90bc5e</t>
  </si>
  <si>
    <t xml:space="preserve">docs/pr-screenshots/shared-line-css-ownership/mobile/s03-line-add-b-warning.png</t>
  </si>
  <si>
    <t xml:space="preserve">2a53704a0e3b95e44fb2d42a0eb43ee78c044ec284b9be1776069a903b23cf49</t>
  </si>
  <si>
    <t xml:space="preserve">docs/pr-screenshots/shared-line-css-ownership/mobile/s03-line-custody-a-initial.png</t>
  </si>
  <si>
    <t xml:space="preserve">73b60c74aa80bb0e4850ea6b935d3caa6707789d13a6f8bc49cd6a6c9398a866</t>
  </si>
  <si>
    <t xml:space="preserve">docs/pr-screenshots/shared-line-css-ownership/mobile/s03-line-intro-a-initial.png</t>
  </si>
  <si>
    <t xml:space="preserve">2a2812428f5a652a6eff78c89a0cc217073d587bd1a65644762f98e810d7f256</t>
  </si>
  <si>
    <t xml:space="preserve">docs/pr-screenshots/shared-line-css-ownership/mobile/s03-line-intro-player-bubble.png</t>
  </si>
  <si>
    <t xml:space="preserve">873cebf9fdc1d409ec0a51b31473222b57814e1777174d9cb479b66a0a90797c</t>
  </si>
  <si>
    <t xml:space="preserve">docs/pr-screenshots/shared-line-css-ownership/mobile/s03-line-intro-quick-replies.png</t>
  </si>
  <si>
    <t xml:space="preserve">8c17e25dfb75e536d7413f699458e17887cdc051d7e89e8de368c11dccc818ee</t>
  </si>
  <si>
    <t xml:space="preserve">docs/pr-screenshots/shared-line-css-ownership/mobile/s03-line-intro-scroll-top.png</t>
  </si>
  <si>
    <t xml:space="preserve">011d88d187c58d9f64e7428d0c2b0a526fe470f34935eeefd2714de129885e23</t>
  </si>
  <si>
    <t xml:space="preserve">docs/pr-screenshots/shared-outcome-system/01-s01-scammed-360x640.png</t>
  </si>
  <si>
    <t xml:space="preserve">3ede3c2cef8d2737414a9c47981eaa12046a760f56d87dac1042a3e0e73a99ec</t>
  </si>
  <si>
    <t xml:space="preserve">docs/pr-screenshots/shared-outcome-system/01-s01-scammed-390x844.png</t>
  </si>
  <si>
    <t xml:space="preserve">ca571836d441c0f96d08eff64bc024032771d570dddc6d066ff0ac6b8a5a9f59</t>
  </si>
  <si>
    <t xml:space="preserve">docs/pr-screenshots/shared-outcome-system/02-s01-stopped-360x640.png</t>
  </si>
  <si>
    <t xml:space="preserve">dde39a755ba60fa942134739f6cd0a396fcfc661d335eab30208b91cfb0d5f65</t>
  </si>
  <si>
    <t xml:space="preserve">docs/pr-screenshots/shared-outcome-system/02-s01-stopped-390x844.png</t>
  </si>
  <si>
    <t xml:space="preserve">f35b0e7b02c7bc9eaccd178ed4c3a63fc148617e83957633a92f21462d8ddb02</t>
  </si>
  <si>
    <t xml:space="preserve">docs/pr-screenshots/shared-outcome-system/03-s02-scammed-360x640.png</t>
  </si>
  <si>
    <t xml:space="preserve">1b01e5e910d6ed28c6b4dd8b0b0afbb74cdf174ada1ef332619171da179af489</t>
  </si>
  <si>
    <t xml:space="preserve">docs/pr-screenshots/shared-outcome-system/03-s02-scammed-390x844.png</t>
  </si>
  <si>
    <t xml:space="preserve">38aa2e9dca462048ee3127082a9232d1f91e08e78d136640012c877541420fcf</t>
  </si>
  <si>
    <t xml:space="preserve">docs/pr-screenshots/shared-outcome-system/04-s02-stopped-360x640.png</t>
  </si>
  <si>
    <t xml:space="preserve">2038abb5c74f694a448a3060a76766b2827c0acd85d301f95276080564ce55d9</t>
  </si>
  <si>
    <t xml:space="preserve">docs/pr-screenshots/shared-outcome-system/04-s02-stopped-390x844.png</t>
  </si>
  <si>
    <t xml:space="preserve">f0505ed1199eda6a8c6b88842b66bed75a7a6cdf9deed1b41c6a83e9f2b167a8</t>
  </si>
  <si>
    <t xml:space="preserve">docs/pr-screenshots/shared-outcome-system/05-s03-scammed-360x640.png</t>
  </si>
  <si>
    <t xml:space="preserve">87dd1c908db1cdd03b58ce4a360747af0a5c9052d60d40996364bc70c4677f53</t>
  </si>
  <si>
    <t xml:space="preserve">docs/pr-screenshots/shared-outcome-system/05-s03-scammed-390x844.png</t>
  </si>
  <si>
    <t xml:space="preserve">af8b280df630cf53fccb6be1b25b2d1fdb5b1dd78f11f57d0a170de85745769a</t>
  </si>
  <si>
    <t xml:space="preserve">docs/pr-screenshots/shared-outcome-system/06-s03-verified-360x640.png</t>
  </si>
  <si>
    <t xml:space="preserve">25db8612d0a2ee8d48e6fc6ad5b662c220aac6e73b0afa5eb4368f684eeb789c</t>
  </si>
  <si>
    <t xml:space="preserve">docs/pr-screenshots/shared-outcome-system/06-s03-verified-390x844.png</t>
  </si>
  <si>
    <t xml:space="preserve">29727dd424d49c022714fb0fb4305eda67024e14daa7c23b2fcc17feb38ed247</t>
  </si>
  <si>
    <t xml:space="preserve">docs/pr-screenshots/shared-outcome-system/07-s04-scammed-360x640.png</t>
  </si>
  <si>
    <t xml:space="preserve">9ddc918a9265b9590e510a8d337a8c448da2bd7b3043846ed25584ba87bc37c9</t>
  </si>
  <si>
    <t xml:space="preserve">docs/pr-screenshots/shared-outcome-system/07-s04-scammed-390x844.png</t>
  </si>
  <si>
    <t xml:space="preserve">cb0a09d5637a663c673dee6fbe7e075932073e2e1d96ae309c894f78a74e6846</t>
  </si>
  <si>
    <t xml:space="preserve">docs/pr-screenshots/shared-outcome-system/08-s04-stopped-360x640.png</t>
  </si>
  <si>
    <t xml:space="preserve">c57b6987100e8274e3d4f275aa5af758513e47bb8200c51fd1894ebfdf47711f</t>
  </si>
  <si>
    <t xml:space="preserve">docs/pr-screenshots/shared-outcome-system/08-s04-stopped-390x844.png</t>
  </si>
  <si>
    <t xml:space="preserve">55615e0185ef3d191c888b6b83d2c64b8a3464a9089be9a5b83814dcdacb71ad</t>
  </si>
  <si>
    <t xml:space="preserve">docs/pr-screenshots/shared-outcome-system/09-s05-scammed-360x640.png</t>
  </si>
  <si>
    <t xml:space="preserve">ad75ead58a2283148ae908a9d042575151bfb457fd8590b44b02e3d9497133db</t>
  </si>
  <si>
    <t xml:space="preserve">docs/pr-screenshots/shared-outcome-system/09-s05-scammed-390x844.png</t>
  </si>
  <si>
    <t xml:space="preserve">dd48f8f0ead0e71e9f186bd4c4946b52cde644409c6a6d99a739b85d8557b43f</t>
  </si>
  <si>
    <t xml:space="preserve">docs/pr-screenshots/shared-outcome-system/10-s05-blocked-360x640.png</t>
  </si>
  <si>
    <t xml:space="preserve">32174a6dd10bef83197d2c8d4a9e3f60163951d074fd3a37dfb1adf40563d5ec</t>
  </si>
  <si>
    <t xml:space="preserve">docs/pr-screenshots/shared-outcome-system/10-s05-blocked-390x844.png</t>
  </si>
  <si>
    <t xml:space="preserve">c43ce676313cea425a9e0316f5f7fc511e43b5a3aa0aad71ed0c5a923a8443ca</t>
  </si>
  <si>
    <t xml:space="preserve">docs/pr-screenshots/shared-outcome-system/11-analysis-s01-360x640.png</t>
  </si>
  <si>
    <t xml:space="preserve">82d1a32a9571620aa087f95ec5653c541f18c39aacefdbfa2099901b5d371d10</t>
  </si>
  <si>
    <t xml:space="preserve">docs/pr-screenshots/shared-outcome-system/11-analysis-s01-390x844.png</t>
  </si>
  <si>
    <t xml:space="preserve">65189ec927f58c5ca930f350c4a14f3425942564d4daf59f1ec088041590102d</t>
  </si>
  <si>
    <t xml:space="preserve">docs/pr-screenshots/shared-outcome-system/12-analysis-s02-360x640.png</t>
  </si>
  <si>
    <t xml:space="preserve">0354b8344f6ab046120f6fd33a7420d73bcbcdcd03cfa86618bb9d41aceeba9f</t>
  </si>
  <si>
    <t xml:space="preserve">docs/pr-screenshots/shared-outcome-system/12-analysis-s02-390x844.png</t>
  </si>
  <si>
    <t xml:space="preserve">3786ca9094cf4418f6babe2db7dceb9a31503f8a4cf65ff80d910bfabafe86d6</t>
  </si>
  <si>
    <t xml:space="preserve">docs/pr-screenshots/shared-outcome-system/13-analysis-s03-360x640.png</t>
  </si>
  <si>
    <t xml:space="preserve">7892185dece7494f0a6f999d80a1b5714f55851b44fe0be78cd6b58ccd3cd440</t>
  </si>
  <si>
    <t xml:space="preserve">docs/pr-screenshots/shared-outcome-system/13-analysis-s03-390x844.png</t>
  </si>
  <si>
    <t xml:space="preserve">1eec1cc69125533753492b67e69c743c8763ca4f53b23daa3d568a092348e3c9</t>
  </si>
  <si>
    <t xml:space="preserve">docs/pr-screenshots/shared-outcome-system/14-analysis-s04-360x640.png</t>
  </si>
  <si>
    <t xml:space="preserve">a5d84b98a197ecf189ac8429aa84be8e1d34ff61c86891cbea2bc0a21b5ba13b</t>
  </si>
  <si>
    <t xml:space="preserve">docs/pr-screenshots/shared-outcome-system/14-analysis-s04-390x844.png</t>
  </si>
  <si>
    <t xml:space="preserve">746030a569c1cdb5865f84139fc346bbffb393786b2e83ca650343fedbb45eee</t>
  </si>
  <si>
    <t xml:space="preserve">docs/pr-screenshots/shared-outcome-system/15-analysis-s05-360x640.png</t>
  </si>
  <si>
    <t xml:space="preserve">57e4c269bae1ca6a8909707401668359ef9e24fb9ebff470e422c925b7e73b0e</t>
  </si>
  <si>
    <t xml:space="preserve">docs/pr-screenshots/shared-outcome-system/15-analysis-s05-390x844.png</t>
  </si>
  <si>
    <t xml:space="preserve">686054e6a7e5ad5ae2f306e1efe8661fa701d4080bfce9ad9cb776650726d4b7</t>
  </si>
  <si>
    <t xml:space="preserve">docs/pr-screenshots/shared-outcome-system/16-quiz-s01-360x640.png</t>
  </si>
  <si>
    <t xml:space="preserve">f8cac6f0d30de352253eaa9576770d4ab1656f43320828cbfee433a7222c24b4</t>
  </si>
  <si>
    <t xml:space="preserve">docs/pr-screenshots/shared-outcome-system/16-quiz-s01-390x844.png</t>
  </si>
  <si>
    <t xml:space="preserve">1c3c7e927929534112350aa2c273a15e6f4f3459e9fffecb5deb883023e935a3</t>
  </si>
  <si>
    <t xml:space="preserve">docs/pr-screenshots/shared-outcome-system/17-quiz-s05-360x640.png</t>
  </si>
  <si>
    <t xml:space="preserve">239c1f3643bde302920daa2a00302e0b63298c881856c16261f54ed683742aa1</t>
  </si>
  <si>
    <t xml:space="preserve">docs/pr-screenshots/shared-outcome-system/17-quiz-s05-390x844.png</t>
  </si>
  <si>
    <t xml:space="preserve">76f261379e81e02a728722bd24e66da85ac0948102bd035c601c763daff81df3</t>
  </si>
  <si>
    <t xml:space="preserve">docs/pr-screenshots/shared-outcome-system/README.md</t>
  </si>
  <si>
    <t xml:space="preserve">5d0f9c9e40c7cee1d9f9c6d1bfcfc509a1ba828850c55ac584b9a128bdd97e21</t>
  </si>
  <si>
    <t xml:space="preserve">docs/scenario03-audio-transcript-current.md</t>
  </si>
  <si>
    <t xml:space="preserve">f0600feede799877e80a32f14ab0feb7e3eb4ec50cba3b87794d0fe0f866b8e4</t>
  </si>
  <si>
    <t xml:space="preserve">docs/screenshots/01-system/.gitkeep</t>
  </si>
  <si>
    <t xml:space="preserve">01ba4719c80b6fe911b091a7c05124b64eeece964e09c058ef8f9805daca546b</t>
  </si>
  <si>
    <t xml:space="preserve">docs/screenshots/02-scenario01-investment/.gitkeep</t>
  </si>
  <si>
    <t xml:space="preserve">docs/screenshots/03-scenario02-romance/.gitkeep</t>
  </si>
  <si>
    <t xml:space="preserve">docs/screenshots/04-scenario03-police/.gitkeep</t>
  </si>
  <si>
    <t xml:space="preserve">docs/screenshots/05-scenario04-shopping/.gitkeep</t>
  </si>
  <si>
    <t xml:space="preserve">docs/screenshots/06-scenario05-seller/.gitkeep</t>
  </si>
  <si>
    <t xml:space="preserve">docs/shared-ui-ownership-audit.md</t>
  </si>
  <si>
    <t xml:space="preserve">c6fdfb610b84f243b40ff795957c37beb5db03992abe5a7b337dc3cba10afdc8</t>
  </si>
  <si>
    <t xml:space="preserve">docs/translations/scenario2-romance-text-en.md</t>
  </si>
  <si>
    <t xml:space="preserve">dd4ad5f7a4ad0f7d1a2583c818b12a68fbf51db62b7745c7751dae7796fda061</t>
  </si>
  <si>
    <t xml:space="preserve">docs/translations/scenario2-romance-text-jp.md</t>
  </si>
  <si>
    <t xml:space="preserve">1fa4c41d936b73cbb5666eebd2c396a88161f5c6654560ac4c178008be7e22c3</t>
  </si>
  <si>
    <t xml:space="preserve">docs/translations/scenario2-romance-text-zh.md</t>
  </si>
  <si>
    <t xml:space="preserve">84b6eb308fb7d3312b05fc3cadb365e497e861b8780ef7a2a97dabe03b28d38a</t>
  </si>
  <si>
    <t xml:space="preserve">docs/translations/scenario3-shopping-text-en.md</t>
  </si>
  <si>
    <t xml:space="preserve">4d3329ba631364531b2da3605b5a57c19831588ebcfe510dd159242611ed7542</t>
  </si>
  <si>
    <t xml:space="preserve">docs/translations/scenario3-shopping-text-jp.md</t>
  </si>
  <si>
    <t xml:space="preserve">fd16112d4ee6a4cfd6330d6c524238471ee5f5a5014b3d5a083985c64499b349</t>
  </si>
  <si>
    <t xml:space="preserve">docs/translations/scenario5-ghostorder-text-en.md</t>
  </si>
  <si>
    <t xml:space="preserve">e1bc8ece7f9db31c90d329e6b893aa78953e79281373e6120a72cf1aa57c2455</t>
  </si>
  <si>
    <t xml:space="preserve">docs/translations/scenario5-ghostorder-text-jp.md</t>
  </si>
  <si>
    <t xml:space="preserve">5fa37594d094bb8b3776bc37ff8cfa54bc1c6f05cad01addef0470c37faca7ee</t>
  </si>
  <si>
    <t xml:space="preserve">docs/translations/scenario5-ghostorder-text-zh.md</t>
  </si>
  <si>
    <t xml:space="preserve">34a0bbe79fdf054ab9d939c1a64bdca14eaa240bf6ff24d988a42366563a6bd9</t>
  </si>
  <si>
    <t xml:space="preserve">icons/apple-touch-icon.png</t>
  </si>
  <si>
    <t xml:space="preserve">724d1daed83ec24c75c17dd8dede7e0cdaa583934838660ef90819fc82195011</t>
  </si>
  <si>
    <t xml:space="preserve">icons/favicon-16.png</t>
  </si>
  <si>
    <t xml:space="preserve">86a2a6da1b5c4883b39f32395c61cc36d205e4892fbec7339d19878821122dc2</t>
  </si>
  <si>
    <t xml:space="preserve">icons/favicon-32.png</t>
  </si>
  <si>
    <t xml:space="preserve">fa4ebc99180801ace1cefa8a0c9f7655c8630f35ea8e3c48c59244c82536761f</t>
  </si>
  <si>
    <t xml:space="preserve">icons/icon-192.png</t>
  </si>
  <si>
    <t xml:space="preserve">icons/icon-512-maskable.png</t>
  </si>
  <si>
    <t xml:space="preserve">icons/icon-512.png</t>
  </si>
  <si>
    <t xml:space="preserve">024f21275a68c16fad0e530c21f57b4f4a6f6f80ded01028ec276f03f8f4ff92</t>
  </si>
  <si>
    <t xml:space="preserve">index.html</t>
  </si>
  <si>
    <t xml:space="preserve">網頁</t>
  </si>
  <si>
    <t xml:space="preserve">.html</t>
  </si>
  <si>
    <t xml:space="preserve">5bdc5702f523240764701ef36e6dd870dcc407e6fa04607821287f32af4c7117</t>
  </si>
  <si>
    <t xml:space="preserve">manifest.json</t>
  </si>
  <si>
    <t xml:space="preserve">ed71d5f0b50d2ab67d78f5ecd246a599c6714e50be8c27d1b92e1698d7e51cd2</t>
  </si>
  <si>
    <t xml:space="preserve">ota/latest.json</t>
  </si>
  <si>
    <r>
      <rPr>
        <sz val="10"/>
        <color rgb="FF000000"/>
        <rFont val="Noto Sans CJK SC"/>
        <family val="2"/>
      </rPr>
      <t xml:space="preserve">版本與 </t>
    </r>
    <r>
      <rPr>
        <sz val="10"/>
        <color rgb="FF000000"/>
        <rFont val="Arial"/>
        <family val="0"/>
        <charset val="1"/>
      </rPr>
      <t xml:space="preserve">OTA </t>
    </r>
    <r>
      <rPr>
        <sz val="10"/>
        <color rgb="FF000000"/>
        <rFont val="Noto Sans CJK SC"/>
        <family val="2"/>
      </rPr>
      <t xml:space="preserve">發布紀錄</t>
    </r>
  </si>
  <si>
    <t xml:space="preserve">fe2e1b6dbaf2d43898a6a10ada5b722497951433fe5e2920c519b47e6879fe00</t>
  </si>
  <si>
    <t xml:space="preserve">release/README.md</t>
  </si>
  <si>
    <t xml:space="preserve">336f8aa72c187be5542fa6a89d75dd029f11566eb4e7892d2758879d270b15d8</t>
  </si>
  <si>
    <t xml:space="preserve">release/ota/README.md</t>
  </si>
  <si>
    <t xml:space="preserve">e9faa613c28f49d9f5b42028be97fa87b09930f4a1b203a65eec25efc5f0ccc9</t>
  </si>
  <si>
    <t xml:space="preserve">release/ota/latest.json</t>
  </si>
  <si>
    <t xml:space="preserve">release/ota/releases/1.0.0-20260825.001.json</t>
  </si>
  <si>
    <t xml:space="preserve">ca468928dc128edebd3d3c44e45eadd53e1f3fc412be574aa1989f907b919798</t>
  </si>
  <si>
    <t xml:space="preserve">release/ota/releases/1.0.0-20260825.002.json</t>
  </si>
  <si>
    <t xml:space="preserve">af5ea4d4a9451a609892ef85c1aa463d85b315f5c4cfce159bac276bf6cb3b0e</t>
  </si>
  <si>
    <t xml:space="preserve">release/ota/releases/1.1.0-20260825.003.json</t>
  </si>
  <si>
    <t xml:space="preserve">53424566bfc122e8f01eeebe0c0a490ff4de3daf5fbcce749a936715ce47af81</t>
  </si>
  <si>
    <t xml:space="preserve">release/ota/releases/1.1.1-20260825.004.json</t>
  </si>
  <si>
    <t xml:space="preserve">f763b535621bb0c5cd15adbe1b491921a554f8fcc44800af7dd491614040f91b</t>
  </si>
  <si>
    <t xml:space="preserve">release/ota/releases/1.1.2-20260825.005.json</t>
  </si>
  <si>
    <t xml:space="preserve">210d3cdb984deea85e8b028178f0af7f20df3178d5f534b9cbf07f054d1bfe04</t>
  </si>
  <si>
    <t xml:space="preserve">release/ota/releases/1.1.3-20260825.006.json</t>
  </si>
  <si>
    <t xml:space="preserve">de8330d44da006e9c5370e2dd00a2ab16cf7742c62d4cd064ba6bb0bd99f3091</t>
  </si>
  <si>
    <t xml:space="preserve">release/ota/releases/1.2.0-20260825.007.json</t>
  </si>
  <si>
    <t xml:space="preserve">2a992a10bb3aa92ae0a158a79a616533937724813dedd78db34119bf24e9768b</t>
  </si>
  <si>
    <t xml:space="preserve">release/ota/releases/1.3.0-20260826.001.json</t>
  </si>
  <si>
    <t xml:space="preserve">00f59545dc680538990d613ba7a7e369138e9a7bbbd54a3632fb610b70bb2fab</t>
  </si>
  <si>
    <t xml:space="preserve">release/ota/releases/1.3.1-20260826.002.json</t>
  </si>
  <si>
    <t xml:space="preserve">47e67e4d1d18a5e8fc949bc4b8d3f4a4665c5b99b518f8782cffc21ae652d29a</t>
  </si>
  <si>
    <t xml:space="preserve">release/ota/releases/1.3.2-20260826.003.json</t>
  </si>
  <si>
    <t xml:space="preserve">351351499484d311770672ac7b142b2704f895010c7da51e59995e3f1dac12b4</t>
  </si>
  <si>
    <t xml:space="preserve">release/ota/releases/1.3.3-20260826.004.json</t>
  </si>
  <si>
    <t xml:space="preserve">d9af7b0c89a112934c7c5c7a61225aab4065be73c207ffd4cd58f450ca63e35f</t>
  </si>
  <si>
    <t xml:space="preserve">release/ota/releases/1.4.0-20260901.001.json</t>
  </si>
  <si>
    <t xml:space="preserve">85bec150beffb1382283098933ca464b0fe25d696112b6bd087bd72f5f19eda2</t>
  </si>
  <si>
    <t xml:space="preserve">release/ota/releases/1.5.1-20260916.002.json</t>
  </si>
  <si>
    <t xml:space="preserve">73213a4173ddb2f92b604858f70ce9eaae44e557aca7fcd237fb135fde301309</t>
  </si>
  <si>
    <t xml:space="preserve">release/ota/releases/1.5.2-20260916.003.json</t>
  </si>
  <si>
    <t xml:space="preserve">7c336952d13beccd85533e11b41833bbc8dc2c1ea0221009d6089510efb0059b</t>
  </si>
  <si>
    <t xml:space="preserve">release/ota/releases/1.5.3-20260916.004.json</t>
  </si>
  <si>
    <t xml:space="preserve">dc51da58fc21231d2be2e62b4dbfa85bb0953f86c73bdf8b3a6f96cd4b62aad7</t>
  </si>
  <si>
    <t xml:space="preserve">release/ota/releases/1.5.4-20260917.001.json</t>
  </si>
  <si>
    <t xml:space="preserve">617fb7d675160848e146427e2ee184a6430cf45aa8c963295e56e4a55b361a9f</t>
  </si>
  <si>
    <t xml:space="preserve">release/ota/releases/1.6.0-20260917.002.json</t>
  </si>
  <si>
    <t xml:space="preserve">458ef4aad26e577e1962e6db0a37088b440085eebb19cb4d4c1760fc69815e1e</t>
  </si>
  <si>
    <t xml:space="preserve">release/ota/releases/1.7.0-20260917.003.json</t>
  </si>
  <si>
    <t xml:space="preserve">3f72a685acc9acab1c5011ca2c4c9fe1c90556ed44a1fbe32d46a1613b6abe30</t>
  </si>
  <si>
    <t xml:space="preserve">release/ota/releases/1.7.1-20260917.004.json</t>
  </si>
  <si>
    <t xml:space="preserve">dcabd65a23635bfb3e2d56f5247d0fc4d1df86e931544f05a3e4fe9ef215f3f4</t>
  </si>
  <si>
    <t xml:space="preserve">release/ota/releases/1.7.2-20260917.005.json</t>
  </si>
  <si>
    <t xml:space="preserve">6e2f7826f2fc19e7e4f56f5324e16ee2519ab93bd06c00e1d52f2618ccc692c0</t>
  </si>
  <si>
    <t xml:space="preserve">release/ota/releases/1.7.3-20260917.006.json</t>
  </si>
  <si>
    <t xml:space="preserve">a3885611085866194526bd7ad4af59d6e38cd2832cc928525e298488a58ca332</t>
  </si>
  <si>
    <t xml:space="preserve">release/ota/releases/1.7.4-20260917.007.json</t>
  </si>
  <si>
    <t xml:space="preserve">9057bb62e89b4148c1ef0bee57ef92807f08f6816fb917d040d1f8a2c13e8695</t>
  </si>
  <si>
    <t xml:space="preserve">release/ota/releases/1.7.5-20260918.001.json</t>
  </si>
  <si>
    <t xml:space="preserve">ad53ef2a7f80b5d1a39c8d98f4b6ca4aa9a740a990b1c37f38b42eeace471228</t>
  </si>
  <si>
    <t xml:space="preserve">release/ota/releases/1.7.6-20260918.002.json</t>
  </si>
  <si>
    <t xml:space="preserve">1a6706e8c5417a4a5a7e6d969e183137baece318f1666afffe465a9d02199457</t>
  </si>
  <si>
    <t xml:space="preserve">release/ota/releases/1.7.7-20260930.001.json</t>
  </si>
  <si>
    <t xml:space="preserve">b56f8d73d3be948384f207f1ae95dd9e16f54a32f13a38bf2746abe9ef086029</t>
  </si>
  <si>
    <t xml:space="preserve">release/ota/releases/1.7.8-20260930.002.json</t>
  </si>
  <si>
    <t xml:space="preserve">release/versions.json</t>
  </si>
  <si>
    <t xml:space="preserve">dc9090875807c49272c3d1b9564ca29e99b190f332115d490b706135432edefd</t>
  </si>
  <si>
    <t xml:space="preserve">sw.js</t>
  </si>
  <si>
    <t xml:space="preserve">61b4abba3417b0849f0e7f6d252953df31589652d843aea6fff7fdd89b21ae4b</t>
  </si>
  <si>
    <t xml:space="preserve">webapp/.gitignore</t>
  </si>
  <si>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建置設定</t>
    </r>
  </si>
  <si>
    <t xml:space="preserve">469c3552a9a55f2b924d9538ddd09eb934e61057b46fc5319dcacbcc43776db7</t>
  </si>
  <si>
    <t xml:space="preserve">webapp/.oxlintrc.json</t>
  </si>
  <si>
    <t xml:space="preserve">1be899e45c49b2a2edc715bc3bfb31d8ed8e866ed7ebab2065ff6e55e88c2396</t>
  </si>
  <si>
    <t xml:space="preserve">webapp/README.md</t>
  </si>
  <si>
    <t xml:space="preserve">1f8fa46483b514305f44e34a47e85e88428c3a667c9494e1583628ef18d7bc79</t>
  </si>
  <si>
    <t xml:space="preserve">webapp/asset-sources/README.md</t>
  </si>
  <si>
    <t xml:space="preserve">素材原始檔</t>
  </si>
  <si>
    <t xml:space="preserve">0655dd365e7f87183ddc7e14d65cfb2416b22af134d18950d34e1f307b4e1f69</t>
  </si>
  <si>
    <t xml:space="preserve">webapp/asset-sources/app-icons/app-icon-source.png</t>
  </si>
  <si>
    <t xml:space="preserve">da1387568bf02e6e8020c6a116bba43337d1bbb97ebf38013edc11c9ecb73d87</t>
  </si>
  <si>
    <t xml:space="preserve">webapp/asset-sources/scenarios/scenario-01/images/entry-hero.png</t>
  </si>
  <si>
    <t xml:space="preserve">a1989821ca12509d2be9b0e7752173bc24343d58db4ab805819d41b18a67048a</t>
  </si>
  <si>
    <t xml:space="preserve">webapp/asset-sources/scenarios/scenario-02/images/entry-hero.png</t>
  </si>
  <si>
    <t xml:space="preserve">354dca584225e96422c8bfa8707d03d765c811d3356706837ab1362699db8313</t>
  </si>
  <si>
    <t xml:space="preserve">webapp/asset-sources/scenarios/scenario-03/images/entry-hero.png</t>
  </si>
  <si>
    <t xml:space="preserve">583b63286394615e7ad703f1d9a6a946ee1c708465c5c1ae0108ee21358f575f</t>
  </si>
  <si>
    <t xml:space="preserve">webapp/asset-sources/scenarios/scenario-04/images/entry-hero.png</t>
  </si>
  <si>
    <t xml:space="preserve">b0ee3975bed2dfe137f00b0309f34556ea9b1e33e21a02eeabaddf11617d2fa7</t>
  </si>
  <si>
    <t xml:space="preserve">webapp/asset-sources/scenarios/scenario-04/images/products/.gitkeep</t>
  </si>
  <si>
    <t xml:space="preserve">webapp/asset-sources/scenarios/scenario-04/images/products/README.md</t>
  </si>
  <si>
    <t xml:space="preserve">af709e94af685ec3753223dc292b5b0369d4d2394a44b747ae09b3cd1d013c28</t>
  </si>
  <si>
    <t xml:space="preserve">webapp/asset-sources/scenarios/scenario-04/images/products/vexa-flex-x1-actual-folded.png</t>
  </si>
  <si>
    <t xml:space="preserve">e4de3e41d32d789f3a85f73ea56384a192b336bdb6c6f2722e894786d51e6f0b</t>
  </si>
  <si>
    <t xml:space="preserve">webapp/asset-sources/scenarios/scenario-04/images/products/vexa-flex-x1-actual-hinge.png</t>
  </si>
  <si>
    <t xml:space="preserve">a1f3866cbd656eab5ffa725d12941bf42d575ac61847a8574071054b8463bb59</t>
  </si>
  <si>
    <t xml:space="preserve">webapp/asset-sources/scenarios/scenario-04/images/products/vexa-flex-x1-actual-main.png</t>
  </si>
  <si>
    <t xml:space="preserve">42b625624254242541317a60a213a025200d4ee61afdd0d51691c50ac57589b3</t>
  </si>
  <si>
    <t xml:space="preserve">webapp/asset-sources/scenarios/scenario-04/images/products/vexa-flex-x1-actual-unboxing.png</t>
  </si>
  <si>
    <t xml:space="preserve">c9ac9112f62d5af2338f447054acb657e3b18b599792220c6939c5d46f4639f2</t>
  </si>
  <si>
    <t xml:space="preserve">webapp/asset-sources/scenarios/scenario-04/images/products/vexa-flex-x1-camera.png</t>
  </si>
  <si>
    <t xml:space="preserve">f8fa4dfd4d760424fb5a6bd5039ad643123b2f9e6c4ec5edbef0973c085e4c91</t>
  </si>
  <si>
    <t xml:space="preserve">webapp/asset-sources/scenarios/scenario-04/images/products/vexa-flex-x1-connectivity.png</t>
  </si>
  <si>
    <t xml:space="preserve">4ebb321aec5b607d63f080cf271e0645670d3e2a9836f95596fcd588fdf7eecf</t>
  </si>
  <si>
    <t xml:space="preserve">webapp/asset-sources/scenarios/scenario-04/images/products/vexa-flex-x1-display.png</t>
  </si>
  <si>
    <t xml:space="preserve">f0895b3e7811b29d84d7e4a7837dfd9ced74186a6ff411af6a087e7d5853b082</t>
  </si>
  <si>
    <t xml:space="preserve">webapp/asset-sources/scenarios/scenario-04/images/products/vexa-flex-x1-main.png</t>
  </si>
  <si>
    <t xml:space="preserve">21644934492da9287a734212216689e834eb22c41159dbf92365da08f9a48c1f</t>
  </si>
  <si>
    <t xml:space="preserve">webapp/asset-sources/scenarios/scenario-05/images/entry-hero.png</t>
  </si>
  <si>
    <t xml:space="preserve">25b50a9017676963872fec67ec8e413c66f229322972d69a397565da7ab77f16</t>
  </si>
  <si>
    <t xml:space="preserve">webapp/asset-sources/shared/ar/image-targets/.gitkeep</t>
  </si>
  <si>
    <t xml:space="preserve">webapp/asset-sources/shared/ar/image-targets/scenario1.png</t>
  </si>
  <si>
    <t xml:space="preserve">a0d8ced7f1f66f719924f4a04921db75863273ce1602fb655b0f96e04ab93221</t>
  </si>
  <si>
    <t xml:space="preserve">webapp/asset-sources/shared/ar/image-targets/scenario2.png</t>
  </si>
  <si>
    <t xml:space="preserve">f7741697913d7603eb379dce7093577ba6a46e8e93730ee0893b46615cf49739</t>
  </si>
  <si>
    <t xml:space="preserve">webapp/asset-sources/shared/ar/image-targets/scenario3.png</t>
  </si>
  <si>
    <t xml:space="preserve">2ec4d15b747ceafdb5629430d01e0fd0474e7fed282419f409a17743aacf4fc1</t>
  </si>
  <si>
    <t xml:space="preserve">webapp/asset-sources/shared/ar/image-targets/scenario4.png</t>
  </si>
  <si>
    <t xml:space="preserve">454f069beeb8b2f669deae56ffbeba8a07d70dacd96c2ebd288a024d4256c4a8</t>
  </si>
  <si>
    <t xml:space="preserve">webapp/asset-sources/shared/ar/image-targets/scenario5.png</t>
  </si>
  <si>
    <t xml:space="preserve">6abb40a4236d52a305bde0acac3833d1204c799003c5b1935dca776860450c39</t>
  </si>
  <si>
    <t xml:space="preserve">webapp/asset-sources/shared/ui/gesture/hand.png</t>
  </si>
  <si>
    <t xml:space="preserve">186f36f8e306d39b17fc5c432b5296fd285882a5f9e4ef4160232c12155eda88</t>
  </si>
  <si>
    <t xml:space="preserve">webapp/index.html</t>
  </si>
  <si>
    <r>
      <rPr>
        <sz val="10"/>
        <color rgb="FF000000"/>
        <rFont val="Arial"/>
        <family val="0"/>
        <charset val="1"/>
      </rPr>
      <t xml:space="preserve">PWA </t>
    </r>
    <r>
      <rPr>
        <sz val="10"/>
        <color rgb="FF000000"/>
        <rFont val="Noto Sans CJK SC"/>
        <family val="2"/>
      </rPr>
      <t xml:space="preserve">外殼（</t>
    </r>
    <r>
      <rPr>
        <sz val="10"/>
        <color rgb="FF000000"/>
        <rFont val="Arial"/>
        <family val="0"/>
        <charset val="1"/>
      </rPr>
      <t xml:space="preserve">index.html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manifest</t>
    </r>
    <r>
      <rPr>
        <sz val="10"/>
        <color rgb="FF000000"/>
        <rFont val="Noto Sans CJK SC"/>
        <family val="2"/>
      </rPr>
      <t xml:space="preserve">／圖示／</t>
    </r>
    <r>
      <rPr>
        <sz val="10"/>
        <color rgb="FF000000"/>
        <rFont val="Arial"/>
        <family val="0"/>
        <charset val="1"/>
      </rPr>
      <t xml:space="preserve">Service Worker</t>
    </r>
    <r>
      <rPr>
        <sz val="10"/>
        <color rgb="FF000000"/>
        <rFont val="Noto Sans CJK SC"/>
        <family val="2"/>
      </rPr>
      <t xml:space="preserve">）</t>
    </r>
  </si>
  <si>
    <t xml:space="preserve">c81acb2b0d2796117386f6ef1e6133e8530840c90c390340a08c238481ee0476</t>
  </si>
  <si>
    <t xml:space="preserve">webapp/package-lock.json</t>
  </si>
  <si>
    <t xml:space="preserve">e43d1f5477539df03d1c0871f82f71ecac54eb016efbe17077656849db3a2244</t>
  </si>
  <si>
    <t xml:space="preserve">webapp/package.json</t>
  </si>
  <si>
    <t xml:space="preserve">d53379fbf75f2f56f0f7346589590f975d56d190b4bb8e1bf2ae8d51736f6d4f</t>
  </si>
  <si>
    <t xml:space="preserve">webapp/public/assets/scenarios/README.md</t>
  </si>
  <si>
    <t xml:space="preserve">共用多媒體素材</t>
  </si>
  <si>
    <t xml:space="preserve">webapp/public/assets/scenarios/scenario-01/images/results/cib-bear-scammed.webp</t>
  </si>
  <si>
    <r>
      <rPr>
        <sz val="10"/>
        <color rgb="FF000000"/>
        <rFont val="Arial"/>
        <family val="0"/>
        <charset val="1"/>
      </rPr>
      <t xml:space="preserve">Scenario 01 </t>
    </r>
    <r>
      <rPr>
        <sz val="10"/>
        <color rgb="FF000000"/>
        <rFont val="Noto Sans CJK SC"/>
        <family val="2"/>
      </rPr>
      <t xml:space="preserve">財富陷阱／假投資詐騙</t>
    </r>
  </si>
  <si>
    <t xml:space="preserve">webapp/public/assets/scenarios/scenario-01/images/results/cib-bear-stopped.webp</t>
  </si>
  <si>
    <t xml:space="preserve">webapp/public/assets/scenarios/scenario-01/videos/chen-teacher-pitch.mp4</t>
  </si>
  <si>
    <t xml:space="preserve">webapp/public/assets/scenarios/scenario-01/videos/teacher-en-f_SC6owoUR.mp4</t>
  </si>
  <si>
    <t xml:space="preserve">webapp/public/assets/scenarios/scenario-01/videos/teacher-jp-f_ftgjUw1g.mp4</t>
  </si>
  <si>
    <t xml:space="preserve">webapp/public/assets/scenarios/scenario-02/images/chat/photo-villa-booking-paid-en.webp</t>
  </si>
  <si>
    <r>
      <rPr>
        <sz val="10"/>
        <color rgb="FF000000"/>
        <rFont val="Arial"/>
        <family val="0"/>
        <charset val="1"/>
      </rPr>
      <t xml:space="preserve">Scenario 02 </t>
    </r>
    <r>
      <rPr>
        <sz val="10"/>
        <color rgb="FF000000"/>
        <rFont val="Noto Sans CJK SC"/>
        <family val="2"/>
      </rPr>
      <t xml:space="preserve">戀愛劇本／假交友詐騙</t>
    </r>
  </si>
  <si>
    <t xml:space="preserve">webapp/public/assets/scenarios/scenario-02/images/chat/photo-villa-booking-paid-jp.webp</t>
  </si>
  <si>
    <t xml:space="preserve">webapp/public/assets/scenarios/scenario-02/images/chat/photo-villa-booking-paid.webp</t>
  </si>
  <si>
    <t xml:space="preserve">webapp/public/assets/scenarios/scenario-02/images/chat/photo-villa-room.webp</t>
  </si>
  <si>
    <t xml:space="preserve">webapp/public/assets/scenarios/scenario-02/images/results/cib-bear-romance-scammed.webp</t>
  </si>
  <si>
    <t xml:space="preserve">webapp/public/assets/scenarios/scenario-02/images/results/cib-bear-romance-stopped.webp</t>
  </si>
  <si>
    <t xml:space="preserve">webapp/public/assets/scenarios/scenario-03/audio/README.md</t>
  </si>
  <si>
    <r>
      <rPr>
        <sz val="10"/>
        <color rgb="FF000000"/>
        <rFont val="Arial"/>
        <family val="0"/>
        <charset val="1"/>
      </rPr>
      <t xml:space="preserve">Scenario 03 </t>
    </r>
    <r>
      <rPr>
        <sz val="10"/>
        <color rgb="FF000000"/>
        <rFont val="Noto Sans CJK SC"/>
        <family val="2"/>
      </rPr>
      <t xml:space="preserve">權威陷阱／假檢警詐騙</t>
    </r>
  </si>
  <si>
    <t xml:space="preserve">webapp/public/assets/scenarios/scenario-03/audio/police/police_add_line.mp3</t>
  </si>
  <si>
    <t xml:space="preserve">webapp/public/assets/scenarios/scenario-03/audio/police/police_add_line_en.mp3</t>
  </si>
  <si>
    <t xml:space="preserve">webapp/public/assets/scenarios/scenario-03/audio/police/police_add_line_jp.mp3</t>
  </si>
  <si>
    <t xml:space="preserve">webapp/public/assets/scenarios/scenario-03/audio/police/police_bank_guide.mp3</t>
  </si>
  <si>
    <t xml:space="preserve">webapp/public/assets/scenarios/scenario-03/audio/police/police_bank_guide_en.mp3</t>
  </si>
  <si>
    <t xml:space="preserve">webapp/public/assets/scenarios/scenario-03/audio/police/police_bank_guide_jp.mp3</t>
  </si>
  <si>
    <t xml:space="preserve">webapp/public/assets/scenarios/scenario-03/audio/police/police_callback_intro.mp3</t>
  </si>
  <si>
    <t xml:space="preserve">webapp/public/assets/scenarios/scenario-03/audio/police/police_callback_intro_en.mp3</t>
  </si>
  <si>
    <t xml:space="preserve">webapp/public/assets/scenarios/scenario-03/audio/police/police_callback_intro_jp.mp3</t>
  </si>
  <si>
    <t xml:space="preserve">webapp/public/assets/scenarios/scenario-03/audio/police/police_case_number.mp3</t>
  </si>
  <si>
    <t xml:space="preserve">webapp/public/assets/scenarios/scenario-03/audio/police/police_case_number_en.mp3</t>
  </si>
  <si>
    <t xml:space="preserve">webapp/public/assets/scenarios/scenario-03/audio/police/police_case_number_jp.mp3</t>
  </si>
  <si>
    <t xml:space="preserve">webapp/public/assets/scenarios/scenario-03/audio/police/police_custody_account.mp3</t>
  </si>
  <si>
    <t xml:space="preserve">webapp/public/assets/scenarios/scenario-03/audio/police/police_custody_account_en.mp3</t>
  </si>
  <si>
    <t xml:space="preserve">webapp/public/assets/scenarios/scenario-03/audio/police/police_custody_account_jp.mp3</t>
  </si>
  <si>
    <t xml:space="preserve">webapp/public/assets/scenarios/scenario-03/audio/police/police_custody_handoff.mp3</t>
  </si>
  <si>
    <t xml:space="preserve">webapp/public/assets/scenarios/scenario-03/audio/police/police_custody_handoff_en.mp3</t>
  </si>
  <si>
    <t xml:space="preserve">webapp/public/assets/scenarios/scenario-03/audio/police/police_custody_handoff_jp.mp3</t>
  </si>
  <si>
    <t xml:space="preserve">webapp/public/assets/scenarios/scenario-03/audio/police/police_data_leak.mp3</t>
  </si>
  <si>
    <t xml:space="preserve">webapp/public/assets/scenarios/scenario-03/audio/police/police_data_leak_en.mp3</t>
  </si>
  <si>
    <t xml:space="preserve">webapp/public/assets/scenarios/scenario-03/audio/police/police_data_leak_jp.mp3</t>
  </si>
  <si>
    <t xml:space="preserve">webapp/public/assets/scenarios/scenario-03/audio/police/police_identity_answer_a.mp3</t>
  </si>
  <si>
    <t xml:space="preserve">webapp/public/assets/scenarios/scenario-03/audio/police/police_identity_answer_a_en.mp3</t>
  </si>
  <si>
    <t xml:space="preserve">webapp/public/assets/scenarios/scenario-03/audio/police/police_identity_answer_a_jp.mp3</t>
  </si>
  <si>
    <t xml:space="preserve">webapp/public/assets/scenarios/scenario-03/audio/police/police_identity_answer_b.mp3</t>
  </si>
  <si>
    <t xml:space="preserve">webapp/public/assets/scenarios/scenario-03/audio/police/police_identity_answer_b_en.mp3</t>
  </si>
  <si>
    <t xml:space="preserve">webapp/public/assets/scenarios/scenario-03/audio/police/police_identity_answer_b_jp.mp3</t>
  </si>
  <si>
    <t xml:space="preserve">webapp/public/assets/scenarios/scenario-03/audio/police/police_identity_question.mp3</t>
  </si>
  <si>
    <t xml:space="preserve">webapp/public/assets/scenarios/scenario-03/audio/police/police_identity_question_en.mp3</t>
  </si>
  <si>
    <t xml:space="preserve">webapp/public/assets/scenarios/scenario-03/audio/police/police_identity_question_jp.mp3</t>
  </si>
  <si>
    <t xml:space="preserve">webapp/public/assets/scenarios/scenario-03/audio/police/police_intro.mp3</t>
  </si>
  <si>
    <t xml:space="preserve">webapp/public/assets/scenarios/scenario-03/audio/police/police_intro_en.mp3</t>
  </si>
  <si>
    <t xml:space="preserve">webapp/public/assets/scenarios/scenario-03/audio/police/police_intro_jp.mp3</t>
  </si>
  <si>
    <t xml:space="preserve">webapp/public/assets/scenarios/scenario-03/audio/police/police_online_answer_a.mp3</t>
  </si>
  <si>
    <t xml:space="preserve">webapp/public/assets/scenarios/scenario-03/audio/police/police_online_answer_a_en.mp3</t>
  </si>
  <si>
    <t xml:space="preserve">webapp/public/assets/scenarios/scenario-03/audio/police/police_online_answer_a_jp.mp3</t>
  </si>
  <si>
    <t xml:space="preserve">webapp/public/assets/scenarios/scenario-03/audio/police/police_online_answer_b.mp3</t>
  </si>
  <si>
    <t xml:space="preserve">webapp/public/assets/scenarios/scenario-03/audio/police/police_online_answer_b_en.mp3</t>
  </si>
  <si>
    <t xml:space="preserve">webapp/public/assets/scenarios/scenario-03/audio/police/police_online_answer_b_jp.mp3</t>
  </si>
  <si>
    <t xml:space="preserve">webapp/public/assets/scenarios/scenario-03/audio/police/police_online_check.mp3</t>
  </si>
  <si>
    <t xml:space="preserve">webapp/public/assets/scenarios/scenario-03/audio/police/police_online_check_en.mp3</t>
  </si>
  <si>
    <t xml:space="preserve">webapp/public/assets/scenarios/scenario-03/audio/police/police_online_check_jp.mp3</t>
  </si>
  <si>
    <t xml:space="preserve">webapp/public/assets/scenarios/scenario-03/audio/police/police_return.mp3</t>
  </si>
  <si>
    <t xml:space="preserve">webapp/public/assets/scenarios/scenario-03/audio/police/police_return_en.mp3</t>
  </si>
  <si>
    <t xml:space="preserve">webapp/public/assets/scenarios/scenario-03/audio/police/police_return_jp.mp3</t>
  </si>
  <si>
    <t xml:space="preserve">webapp/public/assets/scenarios/scenario-03/audio/prosecutor/prosecutor_account_answer_a.mp3</t>
  </si>
  <si>
    <t xml:space="preserve">webapp/public/assets/scenarios/scenario-03/audio/prosecutor/prosecutor_account_answer_a_en.mp3</t>
  </si>
  <si>
    <t xml:space="preserve">webapp/public/assets/scenarios/scenario-03/audio/prosecutor/prosecutor_account_answer_a_jp.mp3</t>
  </si>
  <si>
    <t xml:space="preserve">webapp/public/assets/scenarios/scenario-03/audio/prosecutor/prosecutor_account_answer_b.mp3</t>
  </si>
  <si>
    <t xml:space="preserve">webapp/public/assets/scenarios/scenario-03/audio/prosecutor/prosecutor_account_answer_b_en.mp3</t>
  </si>
  <si>
    <t xml:space="preserve">webapp/public/assets/scenarios/scenario-03/audio/prosecutor/prosecutor_account_answer_b_jp.mp3</t>
  </si>
  <si>
    <t xml:space="preserve">webapp/public/assets/scenarios/scenario-03/audio/prosecutor/prosecutor_account_question.mp3</t>
  </si>
  <si>
    <t xml:space="preserve">webapp/public/assets/scenarios/scenario-03/audio/prosecutor/prosecutor_account_question_en.mp3</t>
  </si>
  <si>
    <t xml:space="preserve">webapp/public/assets/scenarios/scenario-03/audio/prosecutor/prosecutor_account_question_jp.mp3</t>
  </si>
  <si>
    <t xml:space="preserve">webapp/public/assets/scenarios/scenario-03/audio/prosecutor/prosecutor_end.mp3</t>
  </si>
  <si>
    <t xml:space="preserve">webapp/public/assets/scenarios/scenario-03/audio/prosecutor/prosecutor_end_en.mp3</t>
  </si>
  <si>
    <t xml:space="preserve">webapp/public/assets/scenarios/scenario-03/audio/prosecutor/prosecutor_end_jp.mp3</t>
  </si>
  <si>
    <t xml:space="preserve">webapp/public/assets/scenarios/scenario-03/audio/prosecutor/prosecutor_intro.mp3</t>
  </si>
  <si>
    <t xml:space="preserve">webapp/public/assets/scenarios/scenario-03/audio/prosecutor/prosecutor_intro_en.mp3</t>
  </si>
  <si>
    <t xml:space="preserve">webapp/public/assets/scenarios/scenario-03/audio/prosecutor/prosecutor_intro_jp.mp3</t>
  </si>
  <si>
    <t xml:space="preserve">webapp/public/assets/scenarios/scenario-03/audio/prosecutor/prosecutor_pressure.mp3</t>
  </si>
  <si>
    <t xml:space="preserve">webapp/public/assets/scenarios/scenario-03/audio/prosecutor/prosecutor_pressure_en.mp3</t>
  </si>
  <si>
    <t xml:space="preserve">webapp/public/assets/scenarios/scenario-03/audio/prosecutor/prosecutor_pressure_jp.mp3</t>
  </si>
  <si>
    <t xml:space="preserve">webapp/public/assets/scenarios/scenario-03/images/results/cib-bear-authority-scammed.webp</t>
  </si>
  <si>
    <t xml:space="preserve">webapp/public/assets/scenarios/scenario-03/images/results/cib-bear-authority-verified.webp</t>
  </si>
  <si>
    <t xml:space="preserve">webapp/public/assets/scenarios/scenario-04/images/products/bluetooth-mechanical-keyboard.webp</t>
  </si>
  <si>
    <r>
      <rPr>
        <sz val="10"/>
        <color rgb="FF000000"/>
        <rFont val="Arial"/>
        <family val="0"/>
        <charset val="1"/>
      </rPr>
      <t xml:space="preserve">Scenario 04 </t>
    </r>
    <r>
      <rPr>
        <sz val="10"/>
        <color rgb="FF000000"/>
        <rFont val="Noto Sans CJK SC"/>
        <family val="2"/>
      </rPr>
      <t xml:space="preserve">黑箱包裹／假賣家詐騙</t>
    </r>
  </si>
  <si>
    <t xml:space="preserve">webapp/public/assets/scenarios/scenario-04/images/products/drip-coffee-10-pack.webp</t>
  </si>
  <si>
    <t xml:space="preserve">webapp/public/assets/scenarios/scenario-04/images/products/power-bank.webp</t>
  </si>
  <si>
    <t xml:space="preserve">webapp/public/assets/scenarios/scenario-04/images/products/robot-vacuum-actual.webp</t>
  </si>
  <si>
    <t xml:space="preserve">webapp/public/assets/scenarios/scenario-04/images/products/robot-vacuum-broom-head.webp</t>
  </si>
  <si>
    <t xml:space="preserve">webapp/public/assets/scenarios/scenario-04/images/products/robot-vacuum-broom-poles.webp</t>
  </si>
  <si>
    <t xml:space="preserve">webapp/public/assets/scenarios/scenario-04/images/products/robot-vacuum-dustpan.webp</t>
  </si>
  <si>
    <t xml:space="preserve">webapp/public/assets/scenarios/scenario-04/images/products/robot-vacuum-features.webp</t>
  </si>
  <si>
    <t xml:space="preserve">webapp/public/assets/scenarios/scenario-04/images/products/robot-vacuum-lifestyle.webp</t>
  </si>
  <si>
    <t xml:space="preserve">webapp/public/assets/scenarios/scenario-04/images/products/robot-vacuum-main.webp</t>
  </si>
  <si>
    <t xml:space="preserve">webapp/public/assets/scenarios/scenario-04/images/products/robot-vacuum-package.webp</t>
  </si>
  <si>
    <t xml:space="preserve">webapp/public/assets/scenarios/scenario-04/images/products/robot-vacuum-review.webp</t>
  </si>
  <si>
    <t xml:space="preserve">webapp/public/assets/scenarios/scenario-04/images/products/robot-vacuum-unboxed.webp</t>
  </si>
  <si>
    <t xml:space="preserve">webapp/public/assets/scenarios/scenario-04/images/products/vexa-flex-x1-actual-folded.webp</t>
  </si>
  <si>
    <t xml:space="preserve">webapp/public/assets/scenarios/scenario-04/images/products/vexa-flex-x1-actual-hinge.webp</t>
  </si>
  <si>
    <t xml:space="preserve">webapp/public/assets/scenarios/scenario-04/images/products/vexa-flex-x1-actual-main.webp</t>
  </si>
  <si>
    <t xml:space="preserve">webapp/public/assets/scenarios/scenario-04/images/products/vexa-flex-x1-actual-unboxing.webp</t>
  </si>
  <si>
    <t xml:space="preserve">webapp/public/assets/scenarios/scenario-04/images/products/vexa-flex-x1-camera.webp</t>
  </si>
  <si>
    <t xml:space="preserve">webapp/public/assets/scenarios/scenario-04/images/products/vexa-flex-x1-connectivity.webp</t>
  </si>
  <si>
    <t xml:space="preserve">webapp/public/assets/scenarios/scenario-04/images/products/vexa-flex-x1-display.webp</t>
  </si>
  <si>
    <t xml:space="preserve">webapp/public/assets/scenarios/scenario-04/images/products/vexa-flex-x1-main.webp</t>
  </si>
  <si>
    <t xml:space="preserve">webapp/public/assets/scenarios/scenario-04/images/products/waterproof-bluetooth-speaker.webp</t>
  </si>
  <si>
    <t xml:space="preserve">webapp/public/assets/scenarios/scenario-04/images/results/cib-bear-package-scammed.webp</t>
  </si>
  <si>
    <t xml:space="preserve">webapp/public/assets/scenarios/scenario-04/images/results/cib-bear-package-stopped.webp</t>
  </si>
  <si>
    <t xml:space="preserve">webapp/public/assets/scenarios/scenario-05/images/results/cib-bear-order-blocked.webp</t>
  </si>
  <si>
    <r>
      <rPr>
        <sz val="10"/>
        <color rgb="FF000000"/>
        <rFont val="Arial"/>
        <family val="0"/>
        <charset val="1"/>
      </rPr>
      <t xml:space="preserve">Scenario 05 </t>
    </r>
    <r>
      <rPr>
        <sz val="10"/>
        <color rgb="FF000000"/>
        <rFont val="Noto Sans CJK SC"/>
        <family val="2"/>
      </rPr>
      <t xml:space="preserve">幽靈訂單／假買家詐騙</t>
    </r>
  </si>
  <si>
    <t xml:space="preserve">webapp/public/assets/scenarios/scenario-05/images/results/cib-bear-order-scammed.webp</t>
  </si>
  <si>
    <t xml:space="preserve">webapp/public/assets/shared/ar/image-targets.manifest.json</t>
  </si>
  <si>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辨識圖卡資料集</t>
    </r>
  </si>
  <si>
    <t xml:space="preserve">webapp/public/assets/shared/ar/image-targets.mind</t>
  </si>
  <si>
    <t xml:space="preserve">webapp/public/assets/shared/characters/README.md</t>
  </si>
  <si>
    <t xml:space="preserve">webapp/public/assets/shared/characters/dating_visual_01/avatar.webp</t>
  </si>
  <si>
    <t xml:space="preserve">webapp/public/assets/shared/characters/dating_visual_02/avatar.webp</t>
  </si>
  <si>
    <t xml:space="preserve">webapp/public/assets/shared/characters/dating_visual_03/avatar.webp</t>
  </si>
  <si>
    <t xml:space="preserve">webapp/public/assets/shared/characters/dating_visual_03/emily-video-01-en.mp4</t>
  </si>
  <si>
    <t xml:space="preserve">webapp/public/assets/shared/characters/dating_visual_03/emily-video-01-jp.mp4</t>
  </si>
  <si>
    <t xml:space="preserve">webapp/public/assets/shared/characters/dating_visual_03/emily-video-02-en.mp4</t>
  </si>
  <si>
    <t xml:space="preserve">webapp/public/assets/shared/characters/dating_visual_03/emily-video-02-jp.mp4</t>
  </si>
  <si>
    <t xml:space="preserve">webapp/public/assets/shared/characters/dating_visual_03/emily-video-03-en.mp4</t>
  </si>
  <si>
    <t xml:space="preserve">webapp/public/assets/shared/characters/dating_visual_03/emily-video-03-jp.mp4</t>
  </si>
  <si>
    <t xml:space="preserve">webapp/public/assets/shared/characters/dating_visual_03/video-010.mp4</t>
  </si>
  <si>
    <t xml:space="preserve">webapp/public/assets/shared/characters/dating_visual_03/video-020.mp4</t>
  </si>
  <si>
    <t xml:space="preserve">webapp/public/assets/shared/characters/dating_visual_03/video-030.mp4</t>
  </si>
  <si>
    <t xml:space="preserve">webapp/public/assets/shared/characters/female_visual_01/avatar.webp</t>
  </si>
  <si>
    <t xml:space="preserve">webapp/public/assets/shared/characters/female_visual_02/avatar.webp</t>
  </si>
  <si>
    <t xml:space="preserve">webapp/public/assets/shared/characters/male_visual_01/avatar.webp</t>
  </si>
  <si>
    <t xml:space="preserve">webapp/public/assets/shared/characters/male_visual_02/avatar.webp</t>
  </si>
  <si>
    <t xml:space="preserve">webapp/public/assets/shared/characters/male_visual_03/avatar.webp</t>
  </si>
  <si>
    <t xml:space="preserve">webapp/public/assets/shared/characters/scenario01_coach_chen/avatar.webp</t>
  </si>
  <si>
    <t xml:space="preserve">webapp/public/assets/shared/characters/scenario01_stock_rookie/avatar.webp</t>
  </si>
  <si>
    <t xml:space="preserve">webapp/public/assets/shared/characters/scenario01_wealth_freedom/avatar.webp</t>
  </si>
  <si>
    <t xml:space="preserve">webapp/public/assets/shared/ui/ar-scan-hero-en.webp</t>
  </si>
  <si>
    <t xml:space="preserve">webapp/public/assets/shared/ui/ar-scan-hero-jp.webp</t>
  </si>
  <si>
    <t xml:space="preserve">webapp/public/assets/shared/ui/ar-scan-hero-zh.webp</t>
  </si>
  <si>
    <t xml:space="preserve">webapp/public/assets/shared/ui/gesture/hand.webp</t>
  </si>
  <si>
    <t xml:space="preserve">webapp/public/assets/shared/ui/scenario-menu-background.webp</t>
  </si>
  <si>
    <t xml:space="preserve">webapp/public/data/district-courts.json</t>
  </si>
  <si>
    <t xml:space="preserve">地區與司法警政機關資料</t>
  </si>
  <si>
    <t xml:space="preserve">webapp/public/data/police-agencies.json</t>
  </si>
  <si>
    <t xml:space="preserve">webapp/public/data/prosecutors-offices.json</t>
  </si>
  <si>
    <t xml:space="preserve">webapp/public/data/taiwan-regions.json</t>
  </si>
  <si>
    <t xml:space="preserve">webapp/public/icons/apple-touch-icon.png</t>
  </si>
  <si>
    <t xml:space="preserve">webapp/public/icons/favicon-16.png</t>
  </si>
  <si>
    <t xml:space="preserve">webapp/public/icons/favicon-32.png</t>
  </si>
  <si>
    <t xml:space="preserve">webapp/public/icons/icon-192.png</t>
  </si>
  <si>
    <t xml:space="preserve">webapp/public/icons/icon-512-maskable.png</t>
  </si>
  <si>
    <t xml:space="preserve">webapp/public/icons/icon-512.png</t>
  </si>
  <si>
    <t xml:space="preserve">webapp/public/manifest.json</t>
  </si>
  <si>
    <t xml:space="preserve">webapp/public/sw.js</t>
  </si>
  <si>
    <t xml:space="preserve">webapp/scripts/anti-fraud-quiz.test.mjs</t>
  </si>
  <si>
    <r>
      <rPr>
        <sz val="10"/>
        <color rgb="FF000000"/>
        <rFont val="Arial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驗證與測試腳本</t>
    </r>
  </si>
  <si>
    <t xml:space="preserve">.mjs</t>
  </si>
  <si>
    <t xml:space="preserve">c3ff4774271b046c48387fe63491e6195563eb3c765d3085e0485fbc73fdf3c1</t>
  </si>
  <si>
    <t xml:space="preserve">webapp/scripts/app-architecture-boundaries.test.mjs</t>
  </si>
  <si>
    <t xml:space="preserve">622ff9ef625a3ba3db8cd7732f2cff32d0b9201bfa86a3d87c7a18009a9fc117</t>
  </si>
  <si>
    <t xml:space="preserve">webapp/scripts/app-i18n-ownership.test.mjs</t>
  </si>
  <si>
    <t xml:space="preserve">3e57b28c9f0b68c71855027476b4c61584bb82d89c4e6c341754e50fe33d6582</t>
  </si>
  <si>
    <t xml:space="preserve">webapp/scripts/app-i18n-render-snapshot.mjs</t>
  </si>
  <si>
    <t xml:space="preserve">e27cccc859fccff8562975e9624ed76ae6c2af15f2e76e4e5fdd66125408410b</t>
  </si>
  <si>
    <t xml:space="preserve">webapp/scripts/ar-dual-visual-order.mjs</t>
  </si>
  <si>
    <t xml:space="preserve">d631015ed057d1bbaf7c088c3a0216e38fbb2fa74ba25eb8beb8a7c8dc5561e9</t>
  </si>
  <si>
    <t xml:space="preserve">webapp/scripts/ar-dual-visual-order.test.mjs</t>
  </si>
  <si>
    <t xml:space="preserve">6d10c3fc506105d31c610c28dd56f544de4123f8ba1f208dfed77749c80f1369</t>
  </si>
  <si>
    <t xml:space="preserve">webapp/scripts/ar-gesture-action-rules.test.mjs</t>
  </si>
  <si>
    <t xml:space="preserve">a34218ea953321ed2f597ef0925aa64d028ab246a7a93dc147ed02c99f10e2bc</t>
  </si>
  <si>
    <t xml:space="preserve">webapp/scripts/ar-glasses-camera.test.mjs</t>
  </si>
  <si>
    <t xml:space="preserve">71545c9e97b38a1fce6880e9c208047d7fa73fdc1028608f6af83ce58ceb4c66</t>
  </si>
  <si>
    <t xml:space="preserve">webapp/scripts/ar-image-recognition.test.mjs</t>
  </si>
  <si>
    <t xml:space="preserve">df7dc10825fbf2e6fc8aac7a01923e83aef28a91466cb35dbe9d2212e79968dd</t>
  </si>
  <si>
    <t xml:space="preserve">webapp/scripts/ar-interaction-audit-lib.mjs</t>
  </si>
  <si>
    <t xml:space="preserve">5777ab85a1da41f376a2d9b30dc77ed41223e0189d3b94fbf9058450162038f9</t>
  </si>
  <si>
    <t xml:space="preserve">webapp/scripts/ar-interaction-audit.test.mjs</t>
  </si>
  <si>
    <t xml:space="preserve">184c8ea5cccef17059ad8cc048462aa96a4ece474fbcdf440b1b751bac3dad68</t>
  </si>
  <si>
    <t xml:space="preserve">webapp/scripts/ar-interaction-known-exceptions.mjs</t>
  </si>
  <si>
    <t xml:space="preserve">1fe70e92e4867aa545699a5199c1392d30b990e84cf4400b55a97fa7bffa5b11</t>
  </si>
  <si>
    <t xml:space="preserve">webapp/scripts/ar-interaction-migration-inventory.mjs</t>
  </si>
  <si>
    <t xml:space="preserve">f63e9e716497ab21b977bcff9a9feb6b149db0c8b04a2a0aa01a3ec2c04bf5a4</t>
  </si>
  <si>
    <t xml:space="preserve">webapp/scripts/ar-interaction-migration.test.mjs</t>
  </si>
  <si>
    <t xml:space="preserve">fdacc8b8e047452b286c3037c5c73556c767f74e783a7f1aceb943db81e9b6cf</t>
  </si>
  <si>
    <t xml:space="preserve">webapp/scripts/ar-interaction-regression-rules.mjs</t>
  </si>
  <si>
    <t xml:space="preserve">ec86884f3d7bf764b1a139a58a90e04057906482e24e6822347532a1cb8cf785</t>
  </si>
  <si>
    <t xml:space="preserve">webapp/scripts/ar-scan-diagnostics.test.mjs</t>
  </si>
  <si>
    <t xml:space="preserve">f9ac15434d940d873dd8a9d107a010d1ad5e2daa71e1b27738207f0c4e73f349</t>
  </si>
  <si>
    <t xml:space="preserve">webapp/scripts/ar-scan-entry.test.mjs</t>
  </si>
  <si>
    <t xml:space="preserve">0e6e86959235233e7db06053b6a12b82194762f20b047c4603ab873103efb035</t>
  </si>
  <si>
    <t xml:space="preserve">webapp/scripts/ar-scan-stub-loader.mjs</t>
  </si>
  <si>
    <t xml:space="preserve">da5a1ac1d865b1d279bdb149c113ef12eaabebc8b3d63410ca3f84112405652b</t>
  </si>
  <si>
    <t xml:space="preserve">webapp/scripts/ar-surface-harness.mjs</t>
  </si>
  <si>
    <t xml:space="preserve">0b8b6f8d3ee5e38c9320de43aa726f4b4ef2a2b9df47f8892f80d1b4892a55a6</t>
  </si>
  <si>
    <t xml:space="preserve">webapp/scripts/audit-ar-gesture-actions.mjs</t>
  </si>
  <si>
    <t xml:space="preserve">b2e6901669c1f26f96d479087ee69fccd3119661780f8d787c1855628dd460a0</t>
  </si>
  <si>
    <t xml:space="preserve">webapp/scripts/audit-ar-interactions.mjs</t>
  </si>
  <si>
    <t xml:space="preserve">062b9a1ed939b518a57b13d2c04ad066e850170b8b025d27d7c9092526f95667</t>
  </si>
  <si>
    <t xml:space="preserve">webapp/scripts/audit-batch-abc.test.mjs</t>
  </si>
  <si>
    <t xml:space="preserve">c86ed5ed34c8b60dbe3aca0f98428fce6af938220f65c307d2fa2c3fe491c61b</t>
  </si>
  <si>
    <t xml:space="preserve">webapp/scripts/audit-offline-web-assets.mjs</t>
  </si>
  <si>
    <t xml:space="preserve">dfb7e16485ec23bf3b7ecc2a571c8e71ef016c19f5b82eb2a0ca96fa6535b144</t>
  </si>
  <si>
    <t xml:space="preserve">webapp/scripts/audit-offline-web-assets.test.mjs</t>
  </si>
  <si>
    <t xml:space="preserve">a038b7e556551ec79a6f5fe273ce8fcfa1e75c046685b7e2f68dd6d92fbe0ccf</t>
  </si>
  <si>
    <t xml:space="preserve">webapp/scripts/audit-s02-remaining.test.mjs</t>
  </si>
  <si>
    <t xml:space="preserve">a79599fdd3a9f77991127c42732a51f78446fa1fc7f850ede62e01a3dd1eba7c</t>
  </si>
  <si>
    <t xml:space="preserve">webapp/scripts/audit-s03-remaining.test.mjs</t>
  </si>
  <si>
    <t xml:space="preserve">c967be4f369aec1da10473fa3cf62e8fc644ebcde6ac9caa7d054e6184c386c8</t>
  </si>
  <si>
    <t xml:space="preserve">webapp/scripts/audit-s04-remaining.test.mjs</t>
  </si>
  <si>
    <t xml:space="preserve">631dd2f312263fe76e4b42a03fb0b43ad094a546539102f412232ff0e613a3d4</t>
  </si>
  <si>
    <t xml:space="preserve">webapp/scripts/blackpi-inert-chrome.test.mjs</t>
  </si>
  <si>
    <t xml:space="preserve">d64688d5de6936da0a97e8c5c4af27a04f2c2e37d075cde075a9c9eb23104dac</t>
  </si>
  <si>
    <t xml:space="preserve">webapp/scripts/blackpi-navigation-boundary.test.mjs</t>
  </si>
  <si>
    <t xml:space="preserve">e544b1190f6555884950ce57fc52c0eb286591362b567556009968345f0ca9ab</t>
  </si>
  <si>
    <t xml:space="preserve">webapp/scripts/blackpi-store-boundary.test.mjs</t>
  </si>
  <si>
    <t xml:space="preserve">b78e863c2b6524f0223b9af63b487b0af06d0fcc525dfd7e9585d7d3a5d70fbe</t>
  </si>
  <si>
    <t xml:space="preserve">webapp/scripts/build-ar-migration-doc.mjs</t>
  </si>
  <si>
    <t xml:space="preserve">78433bc664bbfedf512919126401a1cf869c43d356afb80c1796d0472ab0d043</t>
  </si>
  <si>
    <t xml:space="preserve">webapp/scripts/build-ota-release.mjs</t>
  </si>
  <si>
    <t xml:space="preserve">db5a6ab1d2250e7262d35cdefa8bcb712640ea7616b4223f12486e63cd394052</t>
  </si>
  <si>
    <t xml:space="preserve">webapp/scripts/coin-winner-navigation-boundary.test.mjs</t>
  </si>
  <si>
    <t xml:space="preserve">b0220c934aa73183b95100bf77babb8e0358e31469a5c7d8f1176e55aa735c63</t>
  </si>
  <si>
    <t xml:space="preserve">webapp/scripts/coin-winner-store-boundary.test.mjs</t>
  </si>
  <si>
    <t xml:space="preserve">169d045de8e96e38f2d44bc136fbf4d4c62960052aa6868cccd399234c9d22f3</t>
  </si>
  <si>
    <t xml:space="preserve">webapp/scripts/coin-winner-style-boundary.test.mjs</t>
  </si>
  <si>
    <t xml:space="preserve">8b74e80d8b1fbb5888d9cd9d82f97deb5795a54727c5f6856bd5964b34d81984</t>
  </si>
  <si>
    <t xml:space="preserve">webapp/scripts/compile-image-targets.mjs</t>
  </si>
  <si>
    <t xml:space="preserve">3b92ccec6b85c51d8e3b7d25b0473db01006dee46aa2c74c313c2e019bd5bb6e</t>
  </si>
  <si>
    <t xml:space="preserve">webapp/scripts/deploy-reachability-gate.test.mjs</t>
  </si>
  <si>
    <t xml:space="preserve">0953a7b46b59ee5c34f849fe3bd6ef8bab3eb1217d82f1bd5ac3951d64644d19</t>
  </si>
  <si>
    <t xml:space="preserve">webapp/scripts/dynamic-localization.test.mjs</t>
  </si>
  <si>
    <t xml:space="preserve">c010c3a39086a4fabc7da75fc6e26849c1e4072528e42a331f6c77bf1325dc13</t>
  </si>
  <si>
    <t xml:space="preserve">webapp/scripts/extensionless-loader.mjs</t>
  </si>
  <si>
    <t xml:space="preserve">b3d0204290f89acbe7ddcbb9f86752fac5672c2e5b09b9fe8472a2ab2d391342</t>
  </si>
  <si>
    <t xml:space="preserve">webapp/scripts/generate-location-localization.mjs</t>
  </si>
  <si>
    <t xml:space="preserve">def64550a267515cdd3fde31c839888ad9ae203787cef52d91223a750bde6cc3</t>
  </si>
  <si>
    <t xml:space="preserve">webapp/scripts/gesture-bridge.test.mjs</t>
  </si>
  <si>
    <t xml:space="preserve">ed2ea4b82b2160ffed426637d198c888b631a23e279e4c9e85042a9fdf83da95</t>
  </si>
  <si>
    <t xml:space="preserve">webapp/scripts/gesture-contract.test.mjs</t>
  </si>
  <si>
    <t xml:space="preserve">f1e42c8f7d223d6a4697f563fc722a3151bb151ec52c8a8723ae58412078f6fa</t>
  </si>
  <si>
    <t xml:space="preserve">webapp/scripts/gesture-never-replaces-pointer.test.mjs</t>
  </si>
  <si>
    <t xml:space="preserve">b39a0c284e1d7b9d1c06d69ae61d631155ac7d3ff85c161f323b16979817514f</t>
  </si>
  <si>
    <t xml:space="preserve">webapp/scripts/gesture-tutorial.test.mjs</t>
  </si>
  <si>
    <t xml:space="preserve">e68b74bab5cd452ff8f7182da981a470ad24542d97a98fc01ea226c6ae2437e0</t>
  </si>
  <si>
    <t xml:space="preserve">webapp/scripts/global-css-ownership.test.mjs</t>
  </si>
  <si>
    <t xml:space="preserve">e69f5f9ba4b4cceaca1721ffb173b53de8d52b49719b9394f32c7e71e489b70f</t>
  </si>
  <si>
    <t xml:space="preserve">webapp/scripts/gugo-invest-module.test.mjs</t>
  </si>
  <si>
    <t xml:space="preserve">146e7ad6917d9679dbff59ec0de40fccc9fc71166f5b153cc54711f0d33b54b5</t>
  </si>
  <si>
    <t xml:space="preserve">webapp/scripts/gugo-invest-stub-loader.mjs</t>
  </si>
  <si>
    <t xml:space="preserve">1b653a05c3edc4200d00e5669003a4779a26c74936c878c5cbf1c9d66a6a1fb4</t>
  </si>
  <si>
    <t xml:space="preserve">webapp/scripts/interaction-hint.test.mjs</t>
  </si>
  <si>
    <t xml:space="preserve">5603832ef798c70eeda672f2dbe872ea16b0eb48b149deac1751c83953b9a7cc</t>
  </si>
  <si>
    <t xml:space="preserve">webapp/scripts/jsx-test-loader.mjs</t>
  </si>
  <si>
    <t xml:space="preserve">a8d06d500c76036966c0cec5f28bb8c977fc0b35eaae4c3da955975ba0e76f6e</t>
  </si>
  <si>
    <t xml:space="preserve">webapp/scripts/language-select-staff-entry.test.mjs</t>
  </si>
  <si>
    <t xml:space="preserve">c7847ab52fb6c8b48c6f0bc8b6e901c4986d9174584a2a9e4b316259a4f606e4</t>
  </si>
  <si>
    <t xml:space="preserve">webapp/scripts/line-style-ownership.test.mjs</t>
  </si>
  <si>
    <t xml:space="preserve">2d9e65b8466744284ab88bad4f99e3ab7312c7c774d5af6275f7400dab676003</t>
  </si>
  <si>
    <t xml:space="preserve">webapp/scripts/localization-coverage.test.mjs</t>
  </si>
  <si>
    <t xml:space="preserve">259064616736e776aab22023dabddc8423a9230526c7024d4af64a2a18fc87ae</t>
  </si>
  <si>
    <t xml:space="preserve">webapp/scripts/localization-leak-rules.mjs</t>
  </si>
  <si>
    <t xml:space="preserve">e1aab5552ceeda8982861207545e2ab5c71f3b4659a51f3554adbeed6a98df4a</t>
  </si>
  <si>
    <t xml:space="preserve">webapp/scripts/localization-runtime-scan.mjs</t>
  </si>
  <si>
    <t xml:space="preserve">1b5e3344078eb7c504f1a920473f1b2c4b3cb2339c7c3a48324feac7408d08df</t>
  </si>
  <si>
    <t xml:space="preserve">webapp/scripts/localized-asset-rules.mjs</t>
  </si>
  <si>
    <t xml:space="preserve">ad9b331b7aed05cca13b44980eb7d8c65dfb646f037fce9c4d18de7476a20d8f</t>
  </si>
  <si>
    <t xml:space="preserve">webapp/scripts/location-localization.test.mjs</t>
  </si>
  <si>
    <t xml:space="preserve">edca537706a8c47c8c64b4f1deb7c178c775b165af8c53cefd604936e41e8622</t>
  </si>
  <si>
    <t xml:space="preserve">webapp/scripts/make-fake-camera-y4m.mjs</t>
  </si>
  <si>
    <t xml:space="preserve">31ae8dad459932a17ab5b2e9e3cae0f58b833c387dd32564ea38c60d9a77fc59</t>
  </si>
  <si>
    <t xml:space="preserve">webapp/scripts/mydondon-boundary.test.mjs</t>
  </si>
  <si>
    <t xml:space="preserve">3cfa791c3ca7c745f51f1db223c5bfa88e14c7cec3e72133a1ed2879cabe916b</t>
  </si>
  <si>
    <t xml:space="preserve">webapp/scripts/native-gesture-bridge.test.mjs</t>
  </si>
  <si>
    <t xml:space="preserve">e547499f1eec4e3b47bd18a6cf7546a6cb22cd6039c59b47530ffdfe49527d8e</t>
  </si>
  <si>
    <t xml:space="preserve">webapp/scripts/offline-external-url-allowlist.json</t>
  </si>
  <si>
    <t xml:space="preserve">4b193947889cc9069a7a5cb99784fa0b61e66557cf3ddcd65a8f7669bda1434e</t>
  </si>
  <si>
    <t xml:space="preserve">webapp/scripts/opening-animation.test.mjs</t>
  </si>
  <si>
    <t xml:space="preserve">1045ceff767be83b8923e0a12d391a5f012724033b7a3f5a33a5ffed9732c6a0</t>
  </si>
  <si>
    <t xml:space="preserve">webapp/scripts/ota-bundle.mjs</t>
  </si>
  <si>
    <t xml:space="preserve">a38fde8e2eaa8adf79a2fe25604a16df5c3b7f150c949c5ef771a82f62d48f72</t>
  </si>
  <si>
    <t xml:space="preserve">webapp/scripts/ota-release.test.mjs</t>
  </si>
  <si>
    <t xml:space="preserve">63aa587105243e67a6b1ff547ef6d9bcfdd2a044ede9673a3e2094a58b8781f5</t>
  </si>
  <si>
    <t xml:space="preserve">webapp/scripts/ota-version.mjs</t>
  </si>
  <si>
    <t xml:space="preserve">43049a67dea87d22c46a5a923f39414ff51d670bd484ba94e1e5016382fb5cc0</t>
  </si>
  <si>
    <t xml:space="preserve">webapp/scripts/ota-zip.mjs</t>
  </si>
  <si>
    <t xml:space="preserve">a79e7a15ab0b0543912fc33b223f4b40a3f3aafbbf8fc34e44712eda111f76c3</t>
  </si>
  <si>
    <t xml:space="preserve">webapp/scripts/outcome-ownership-resolver.test.mjs</t>
  </si>
  <si>
    <t xml:space="preserve">750f4f61c04d183fb414420d87700832857c65f865e9ed981d5dad9e0514b89e</t>
  </si>
  <si>
    <t xml:space="preserve">webapp/scripts/outcome-ownership.test.mjs</t>
  </si>
  <si>
    <t xml:space="preserve">15cff9cd645d762dad167cc4d6472e805633a4a6cbbdeac2509f0ba408008cb2</t>
  </si>
  <si>
    <t xml:space="preserve">webapp/scripts/outcome-reachability.test.mjs</t>
  </si>
  <si>
    <t xml:space="preserve">c3cf148d19fb01b54122d31e66cf07e2401daf2b2358b0b483e337fa2a8514bc</t>
  </si>
  <si>
    <t xml:space="preserve">webapp/scripts/player-read-text-is-never-truncated.test.mjs</t>
  </si>
  <si>
    <t xml:space="preserve">290de1c523586482c5d1e2994d9e94ca775abef7aeddc78c088d449a967c449f</t>
  </si>
  <si>
    <t xml:space="preserve">webapp/scripts/react-router-stub-loader.mjs</t>
  </si>
  <si>
    <t xml:space="preserve">eb0872b32b56dcd19bdee620f2e5caf73c9905dba9c79360e955e7558df5bb44</t>
  </si>
  <si>
    <t xml:space="preserve">webapp/scripts/register-ar-scan-loaders.mjs</t>
  </si>
  <si>
    <t xml:space="preserve">ac3ca285d7535e33dbb56ddcaf0856939dcf9e5e8f76f9866c3619fb29766d6f</t>
  </si>
  <si>
    <t xml:space="preserve">webapp/scripts/register-gesture-contract-loaders.mjs</t>
  </si>
  <si>
    <t xml:space="preserve">9818593f881d3defda76c50f1d96032cc230f01da426cf4086da0c43d7b908cb</t>
  </si>
  <si>
    <t xml:space="preserve">webapp/scripts/register-jsx-loader.mjs</t>
  </si>
  <si>
    <t xml:space="preserve">b51f74d2df69ee167328120bb5ad6f61d00188a75c6c9c00c59d97032bb11752</t>
  </si>
  <si>
    <t xml:space="preserve">webapp/scripts/register-outcome-reachability-loaders.mjs</t>
  </si>
  <si>
    <t xml:space="preserve">cc48a328bca84ece5f17e3e8da5f332b11d601ff65d443d54c4872f4d880b8b2</t>
  </si>
  <si>
    <t xml:space="preserve">webapp/scripts/scenario-entry-briefing.test.mjs</t>
  </si>
  <si>
    <t xml:space="preserve">03b325a8ef919ddf645f156dd7380e89d3b4c22d65aece3abe6860e6134af451</t>
  </si>
  <si>
    <t xml:space="preserve">webapp/scripts/scenario-run-reset.test.mjs</t>
  </si>
  <si>
    <t xml:space="preserve">a0f50d63a3b90e34656ffd13147897ddd8c7017c60e714f72cbcf0647a1a6ba0</t>
  </si>
  <si>
    <t xml:space="preserve">webapp/scripts/scenario01-assistant-identity.test.mjs</t>
  </si>
  <si>
    <t xml:space="preserve">344b348c1fcc5b590e1a1cee6b4fb3f59238fb8d530bb100ddfedd9f337c013d</t>
  </si>
  <si>
    <t xml:space="preserve">webapp/scripts/scenario01-video.test.mjs</t>
  </si>
  <si>
    <t xml:space="preserve">941342fb05d8834d4d8f0ded95b2c9e23547f9154680f8e53be8f6959ed3f573</t>
  </si>
  <si>
    <t xml:space="preserve">webapp/scripts/scenario02-booking-screenshot-localization.test.mjs</t>
  </si>
  <si>
    <t xml:space="preserve">896e255c9188905571162b5327e8b35abd45be025ebd1a523f3e5b179af2e115</t>
  </si>
  <si>
    <t xml:space="preserve">webapp/scripts/scenario02-choices.test.mjs</t>
  </si>
  <si>
    <t xml:space="preserve">6a0787f7488171b0594508da57905adf92c25f7bd5f9a1a03facea4500e985c6</t>
  </si>
  <si>
    <t xml:space="preserve">webapp/scripts/scenario02-coin-winner-return.test.mjs</t>
  </si>
  <si>
    <t xml:space="preserve">e085b380da772a4e036c2c5d6c9fdfd5b5425980c757606f183e6b6a6bc23de6</t>
  </si>
  <si>
    <t xml:space="preserve">webapp/scripts/scenario02-skip-lead-single-action.test.mjs</t>
  </si>
  <si>
    <t xml:space="preserve">7f4b958ba2d457cc3922eb16fbdbe7b4ac85d0e8680b54f827177fa1f33db0c9</t>
  </si>
  <si>
    <t xml:space="preserve">webapp/scripts/scenario02-topup-warning.test.mjs</t>
  </si>
  <si>
    <t xml:space="preserve">5774d0d8e93324f569f2dca828e994631f859b7fa8fc40c7fabf54c092eb1cca</t>
  </si>
  <si>
    <t xml:space="preserve">webapp/scripts/scenario02-video-localization.test.mjs</t>
  </si>
  <si>
    <t xml:space="preserve">ff651a6dc11b5c299b0d4b00d0fcd5c0392e62e5fe401ffd746a46cbbf6678fd</t>
  </si>
  <si>
    <t xml:space="preserve">webapp/scripts/scenario03-aftermath.test.mjs</t>
  </si>
  <si>
    <t xml:space="preserve">2b3b46ea20bc07c27d2cfd75d7ba9c262037d07f6fe8c0ea18f29cede21beca3</t>
  </si>
  <si>
    <t xml:space="preserve">webapp/scripts/scenario03-call-audio-coverage.test.mjs</t>
  </si>
  <si>
    <t xml:space="preserve">2d52209b2d8ce6ffbb4bab26b27c538c6d4588ed2bc8c17a9bd0ce41dce14808</t>
  </si>
  <si>
    <t xml:space="preserve">webapp/scripts/scenario03-call-lifecycle.test.mjs</t>
  </si>
  <si>
    <t xml:space="preserve">8ec18014b445818a7f05f502bb23214fca1a169cee4ce9b134ec3388700a2ed7</t>
  </si>
  <si>
    <t xml:space="preserve">webapp/scripts/scenario03-case-number.test.mjs</t>
  </si>
  <si>
    <t xml:space="preserve">a3559ed7e55a311687adc6536d5c7f21895d17c65fe85d44d4683161b13d380f</t>
  </si>
  <si>
    <t xml:space="preserve">webapp/scripts/scenario03-lock-screen-bank-site.test.mjs</t>
  </si>
  <si>
    <t xml:space="preserve">b45452e28250c4ebbc0d1a732300d4bbdc679922dbfe3f5795d6809dd1f5fb7e</t>
  </si>
  <si>
    <t xml:space="preserve">webapp/scripts/scenario03-navigation.test.mjs</t>
  </si>
  <si>
    <t xml:space="preserve">616f13d70567cb6a6b8464146c6d943ec82202bd7fa117e2a404d297dbf3ba95</t>
  </si>
  <si>
    <t xml:space="preserve">webapp/scripts/scenario03-police-unit.test.mjs</t>
  </si>
  <si>
    <t xml:space="preserve">228c4d49257052a2d3c53c60ea43c93a3c24d3361e8243773641335279cf435d</t>
  </si>
  <si>
    <t xml:space="preserve">webapp/scripts/scenario04-navigation.test.mjs</t>
  </si>
  <si>
    <t xml:space="preserve">4efe2f2ba0487a72752159a71456503eab54ad57d3d4337d14337e9ee730ab75</t>
  </si>
  <si>
    <t xml:space="preserve">webapp/scripts/scenario05-buyer-choices.test.mjs</t>
  </si>
  <si>
    <t xml:space="preserve">0e51222045c1233717b550942d00a0ecde3b73a363c7595de6bb43786dd4f963</t>
  </si>
  <si>
    <t xml:space="preserve">webapp/scripts/scenario05-navigation.test.mjs</t>
  </si>
  <si>
    <t xml:space="preserve">a1847054472f8fd59a3a2aa1ab8a49a74da6b78ca730047740efab76c3b2ec23</t>
  </si>
  <si>
    <t xml:space="preserve">webapp/scripts/scenario05-verification.test.mjs</t>
  </si>
  <si>
    <t xml:space="preserve">4803f0e90eb1b9fac0feb5e013be745596faa27ccd0ed9ce0da85daae48e510a</t>
  </si>
  <si>
    <t xml:space="preserve">webapp/scripts/serve-fake-jorjin-camera.mjs</t>
  </si>
  <si>
    <t xml:space="preserve">e4700b0b13a1ce3becd002368e4bbfd22f40e2f92faf57b158a906e4a4bb086a</t>
  </si>
  <si>
    <t xml:space="preserve">webapp/scripts/single-consumer-shared-ownership.test.mjs</t>
  </si>
  <si>
    <t xml:space="preserve">45054ecea9a5ee22d817f793c1918da1f644611146b86348c0aa51b4e4ce0232</t>
  </si>
  <si>
    <t xml:space="preserve">webapp/scripts/staff-version-panel.test.mjs</t>
  </si>
  <si>
    <t xml:space="preserve">680b05bcfb796065ee54af72281d699e8ce8a7d980f1c472e4ec18a68b50685f</t>
  </si>
  <si>
    <t xml:space="preserve">webapp/scripts/stubs/ar-image-recognition.mjs</t>
  </si>
  <si>
    <t xml:space="preserve">4e64618965c3bd0a199d997234541a2e6966c9cd31d7abac61d1e0a459840e2b</t>
  </si>
  <si>
    <t xml:space="preserve">webapp/scripts/stubs/fake-camera-scope.mjs</t>
  </si>
  <si>
    <t xml:space="preserve">bdbc122849fc644c7305eead4fba243f8a6dc5cd3632b92a8ee5e352353ae29a</t>
  </si>
  <si>
    <t xml:space="preserve">webapp/scripts/stubs/gugo-invest-app.mjs</t>
  </si>
  <si>
    <t xml:space="preserve">a3aa0d72b711f80a93346c45b933f80304ce58b60c9b851a682e9fa6e078ee25</t>
  </si>
  <si>
    <t xml:space="preserve">webapp/scripts/stubs/react-router-dom.mjs</t>
  </si>
  <si>
    <t xml:space="preserve">3647f43a701c144c3110d1d3d0185d8a81f9a299414a95bbc04860f66eff58c7</t>
  </si>
  <si>
    <t xml:space="preserve">webapp/scripts/validate-app-boundaries.mjs</t>
  </si>
  <si>
    <t xml:space="preserve">d2ef797a689020219b906f63886ad2ed26c46f44588809c10005dea7ca1402a5</t>
  </si>
  <si>
    <t xml:space="preserve">webapp/scripts/validate-asset-ownership.mjs</t>
  </si>
  <si>
    <t xml:space="preserve">d1ae056bdfe7ccdd965cc0c233aa3ba4c212be3d48227253964dacf0c1a509ac</t>
  </si>
  <si>
    <t xml:space="preserve">webapp/scripts/validate-dialogue.mjs</t>
  </si>
  <si>
    <t xml:space="preserve">a378c11ff11806498a2a59e617441a5060b480b55039777101d2e1544e4c92f8</t>
  </si>
  <si>
    <t xml:space="preserve">webapp/scripts/validate-fake-phone.mjs</t>
  </si>
  <si>
    <t xml:space="preserve">40930084342880651fe7d14fa3bc69527bdd663e21215e3c94f73867cd3fbd28</t>
  </si>
  <si>
    <t xml:space="preserve">webapp/scripts/validate-i18n.mjs</t>
  </si>
  <si>
    <t xml:space="preserve">9d9e477d46440cedb53e1df1a4a483a0fe2954961b25e5b11ce12595f45e34b6</t>
  </si>
  <si>
    <t xml:space="preserve">webapp/scripts/validate-line-boundaries.mjs</t>
  </si>
  <si>
    <t xml:space="preserve">99d47d2e766db60798d249efc50f9b7fde1b98e2f0cf9b7dfe96c920a61e6335</t>
  </si>
  <si>
    <t xml:space="preserve">webapp/scripts/validate-localized-assets.mjs</t>
  </si>
  <si>
    <t xml:space="preserve">afddfce354ab453d45ba3b5359c5b58ed1965bb5c4bb6a60b356aac742f4b40b</t>
  </si>
  <si>
    <t xml:space="preserve">webapp/scripts/validate-localized-assets.test.mjs</t>
  </si>
  <si>
    <t xml:space="preserve">448d36973a48537263b9bcc5dd0effaf4c03195cfeaf853a0d672b733e70369f</t>
  </si>
  <si>
    <t xml:space="preserve">webapp/scripts/validate-outcome-ownership.mjs</t>
  </si>
  <si>
    <t xml:space="preserve">76f060779912e3da667dde20c39dad2a861d95f0cd0f6abf8893f9b0ad69f78c</t>
  </si>
  <si>
    <t xml:space="preserve">webapp/scripts/validate-police-organization.mjs</t>
  </si>
  <si>
    <t xml:space="preserve">e79d484e301eccb342ccbbfeb0cf146c26f0055d3ce137ca3f15b26529502207</t>
  </si>
  <si>
    <t xml:space="preserve">webapp/scripts/validate-scenario03-dialogues.mjs</t>
  </si>
  <si>
    <t xml:space="preserve">8fe137b70a15e92a2f20ce9771248c8f6a699c060e4695a778e12b243034a973</t>
  </si>
  <si>
    <t xml:space="preserve">webapp/scripts/validate-shared-ui-ownership.mjs</t>
  </si>
  <si>
    <t xml:space="preserve">27e611f97a6961f8826e59958bbc1965b45203a15dcda272787765e88d5fcdae</t>
  </si>
  <si>
    <t xml:space="preserve">webapp/scripts/validate-zh-place-names.mjs</t>
  </si>
  <si>
    <t xml:space="preserve">ea33dd10bcc1cb6211847a240a7a4b4867a425ad727e0a73e01ea602c8ff7f09</t>
  </si>
  <si>
    <t xml:space="preserve">webapp/src/App.jsx</t>
  </si>
  <si>
    <r>
      <rPr>
        <sz val="10"/>
        <color rgb="FF000000"/>
        <rFont val="Noto Sans CJK SC"/>
        <family val="2"/>
      </rPr>
      <t xml:space="preserve">平台核心（進入點／路由／</t>
    </r>
    <r>
      <rPr>
        <sz val="10"/>
        <color rgb="FF000000"/>
        <rFont val="Arial"/>
        <family val="0"/>
        <charset val="1"/>
      </rPr>
      <t xml:space="preserve">Shell</t>
    </r>
    <r>
      <rPr>
        <sz val="10"/>
        <color rgb="FF000000"/>
        <rFont val="Noto Sans CJK SC"/>
        <family val="2"/>
      </rPr>
      <t xml:space="preserve">／共用函式庫）</t>
    </r>
  </si>
  <si>
    <t xml:space="preserve">.jsx</t>
  </si>
  <si>
    <t xml:space="preserve">432988ccc303ca89ad1c3cf9c33c120a2bdaa7f286e3895aa34dd7039c40c6a0</t>
  </si>
  <si>
    <t xml:space="preserve">webapp/src/apps/blackpi/brand/index.js</t>
  </si>
  <si>
    <r>
      <rPr>
        <sz val="10"/>
        <color rgb="FF000000"/>
        <rFont val="Noto Sans CJK SC"/>
        <family val="2"/>
      </rPr>
      <t xml:space="preserve">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：黑皮購物 </t>
    </r>
    <r>
      <rPr>
        <sz val="10"/>
        <color rgb="FF000000"/>
        <rFont val="Arial"/>
        <family val="0"/>
        <charset val="1"/>
      </rPr>
      <t xml:space="preserve">BlackPi</t>
    </r>
  </si>
  <si>
    <t xml:space="preserve">e1fec746ede4111660762b268f33ca584c38324e0c2884075df333df4d4fb435</t>
  </si>
  <si>
    <t xml:space="preserve">webapp/src/apps/blackpi/components/AssetImage.jsx</t>
  </si>
  <si>
    <t xml:space="preserve">a7869b5fb6705bd46c77f732548ad3fba6014fa0388d47cc9c46d2bcc24a5c35</t>
  </si>
  <si>
    <t xml:space="preserve">webapp/src/apps/blackpi/components/BottomNav.jsx</t>
  </si>
  <si>
    <t xml:space="preserve">a51af76c1cbf7a879911121014e80d39cf6eb96790f4ea86a270da5496f4800e</t>
  </si>
  <si>
    <t xml:space="preserve">webapp/src/apps/blackpi/components/ChatScreen.jsx</t>
  </si>
  <si>
    <t xml:space="preserve">6ec1fb4e45bb5e1b400d74d61ae6cd487c1dcc44d60473e778ced867a28b1c0e</t>
  </si>
  <si>
    <t xml:space="preserve">webapp/src/apps/blackpi/components/CompactProductRow.jsx</t>
  </si>
  <si>
    <t xml:space="preserve">ec6a86c54307eb92eba964185427a01cbf1e9688457d639e67aa7e1176094aaf</t>
  </si>
  <si>
    <t xml:space="preserve">webapp/src/apps/blackpi/components/DialogueChoiceGrid.jsx</t>
  </si>
  <si>
    <t xml:space="preserve">eed764e3211ac5c30e79e8a6cd8c2a03713b723109b04b3481ab1e3acb4f6c4e</t>
  </si>
  <si>
    <t xml:space="preserve">webapp/src/apps/blackpi/components/PhoneShell.jsx</t>
  </si>
  <si>
    <t xml:space="preserve">7d7d9c52dce69aebed53a55baa269b1697706c4da084d5081d38b47ae35cb4f6</t>
  </si>
  <si>
    <t xml:space="preserve">webapp/src/apps/blackpi/components/Placeholder.jsx</t>
  </si>
  <si>
    <t xml:space="preserve">8acecdecff48d88e4342215f79acf60d1acab9253d425817188006c2c41e2925</t>
  </si>
  <si>
    <t xml:space="preserve">webapp/src/apps/blackpi/components/ProductCard.jsx</t>
  </si>
  <si>
    <t xml:space="preserve">276038f7fb7b604fad609499747c52381fe2c41f30812c8f320118871b70fd80</t>
  </si>
  <si>
    <t xml:space="preserve">webapp/src/apps/blackpi/components/Toast.jsx</t>
  </si>
  <si>
    <t xml:space="preserve">3508060b67a6e14a3e629efb790601b22e839c37c92fcff9c90ef4cbf994aaab</t>
  </si>
  <si>
    <t xml:space="preserve">webapp/src/apps/blackpi/data/assetMap.js</t>
  </si>
  <si>
    <t xml:space="preserve">1f66e09f934816275b08bb88afc62bd81fd83571085bf1a536220e637c765a44</t>
  </si>
  <si>
    <t xml:space="preserve">webapp/src/apps/blackpi/data/catalog.js</t>
  </si>
  <si>
    <t xml:space="preserve">5eeda86b5caa269a594f81618943942cea80ac6c10aff033781db45c783490b4</t>
  </si>
  <si>
    <t xml:space="preserve">webapp/src/apps/blackpi/i18n/en.js</t>
  </si>
  <si>
    <t xml:space="preserve">72123e4c2ffed4f402e66deeff2701a40ef1f0d69228845567d598f4c9e92db5</t>
  </si>
  <si>
    <t xml:space="preserve">webapp/src/apps/blackpi/i18n/index.js</t>
  </si>
  <si>
    <t xml:space="preserve">ae9530e63dcf3a61fc1366f733e5361e6216333161c722581ab2fa3107012b87</t>
  </si>
  <si>
    <t xml:space="preserve">webapp/src/apps/blackpi/i18n/jp.js</t>
  </si>
  <si>
    <t xml:space="preserve">f15e75d9f61fcd88d959daa671f0e4ed38733a5cb58605435892e06e5c4b6b7e</t>
  </si>
  <si>
    <t xml:space="preserve">webapp/src/apps/blackpi/index.js</t>
  </si>
  <si>
    <t xml:space="preserve">c78143a174ccd6557159970f23024ea6b0f4ce669673a01047ca35630539c501</t>
  </si>
  <si>
    <t xml:space="preserve">webapp/src/apps/blackpi/screens/Category.jsx</t>
  </si>
  <si>
    <t xml:space="preserve">d83662cfaee907e70fc76488392e695110339f6f0cc085e514d22117c1bd101b</t>
  </si>
  <si>
    <t xml:space="preserve">webapp/src/apps/blackpi/screens/Checkout.jsx</t>
  </si>
  <si>
    <t xml:space="preserve">cf7279565fd15f0407753ec7f01a5fbf8db1ca9151f8e8ea6f7b7ffcbcc5aedb</t>
  </si>
  <si>
    <t xml:space="preserve">webapp/src/apps/blackpi/screens/Home.jsx</t>
  </si>
  <si>
    <t xml:space="preserve">541dd1ff387512e5c7e84618d1dd388a754e4d73bf2cb766550ff6c471ead844</t>
  </si>
  <si>
    <t xml:space="preserve">webapp/src/apps/blackpi/screens/Me.jsx</t>
  </si>
  <si>
    <t xml:space="preserve">2e66195a7b86c48d9b86c979715ace968bcb282a71d3710ae6716e3b1724b88e</t>
  </si>
  <si>
    <t xml:space="preserve">webapp/src/apps/blackpi/screens/Messages.jsx</t>
  </si>
  <si>
    <t xml:space="preserve">c1ce98604da02cb7a35f59439ed14432ba01671bd90484259023916ae60689c4</t>
  </si>
  <si>
    <t xml:space="preserve">webapp/src/apps/blackpi/screens/OrderDetail.jsx</t>
  </si>
  <si>
    <t xml:space="preserve">5a0590d63ef543bc73fe8fcc10fb72bb609ec96a5e2a9c76a9d3cd3c56c0db3b</t>
  </si>
  <si>
    <t xml:space="preserve">webapp/src/apps/blackpi/screens/Orders.jsx</t>
  </si>
  <si>
    <t xml:space="preserve">b4e9b0963ca5438b57433118fd0edce708fca1523319a90f38341bc54d654c6a</t>
  </si>
  <si>
    <t xml:space="preserve">webapp/src/apps/blackpi/screens/PaymentSuccess.jsx</t>
  </si>
  <si>
    <t xml:space="preserve">69a33e4c46f028b9d2745d07436fc0026f3702919d00d339fa7da7a402a9f1bf</t>
  </si>
  <si>
    <t xml:space="preserve">webapp/src/apps/blackpi/screens/ProductDetail.jsx</t>
  </si>
  <si>
    <t xml:space="preserve">6906e4d6720436eeaf6ff2532fb225d2d69e581729053c4ee3f21f4e528bb2d3</t>
  </si>
  <si>
    <t xml:space="preserve">webapp/src/apps/blackpi/screens/Search.jsx</t>
  </si>
  <si>
    <t xml:space="preserve">85dff89de9c5f9b8a902fdd44372972144fbb4ec4da002d8f686976a8ccab588</t>
  </si>
  <si>
    <t xml:space="preserve">webapp/src/apps/blackpi/screens/SearchResults.jsx</t>
  </si>
  <si>
    <t xml:space="preserve">89d67d934b3fa74fc4f39cf770015708f8f84227a9509bf7ee288d9af2814e18</t>
  </si>
  <si>
    <t xml:space="preserve">webapp/src/apps/blackpi/screens/Splash.jsx</t>
  </si>
  <si>
    <t xml:space="preserve">cc1fd8f782e01f8cd3554def77f198c8fe459a96f51aaaefbc210e93794de827</t>
  </si>
  <si>
    <t xml:space="preserve">webapp/src/apps/blackpi/styles/index.css</t>
  </si>
  <si>
    <t xml:space="preserve">48eaaafc1e0cac84070e8b4276d9c53cc56e5f9bf7ddc4f2aa97c080233fc97f</t>
  </si>
  <si>
    <t xml:space="preserve">webapp/src/apps/coin-winner/DepositPage.jsx</t>
  </si>
  <si>
    <r>
      <rPr>
        <sz val="10"/>
        <color rgb="FF000000"/>
        <rFont val="Noto Sans CJK SC"/>
        <family val="2"/>
      </rPr>
      <t xml:space="preserve">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：幣勝客 </t>
    </r>
    <r>
      <rPr>
        <sz val="10"/>
        <color rgb="FF000000"/>
        <rFont val="Arial"/>
        <family val="0"/>
        <charset val="1"/>
      </rPr>
      <t xml:space="preserve">Coin Winner</t>
    </r>
  </si>
  <si>
    <t xml:space="preserve">1ceb036e6dbcc6b184e4af4c39a342dd05fe339e5a9e051a37132611c8326de1</t>
  </si>
  <si>
    <t xml:space="preserve">webapp/src/apps/coin-winner/PlatformHome.jsx</t>
  </si>
  <si>
    <t xml:space="preserve">1a9d0bc7cd643db3dcfe121d0206b2dbb5f30ccd32aa6bf3397a47d59b5c4254</t>
  </si>
  <si>
    <t xml:space="preserve">webapp/src/apps/coin-winner/PlatformLanding.jsx</t>
  </si>
  <si>
    <t xml:space="preserve">cb17e62b9c6fa287791d441294934e99ba1a3b31b7db2a748cef8c095f9054e1</t>
  </si>
  <si>
    <t xml:space="preserve">webapp/src/apps/coin-winner/PlatformRegister.jsx</t>
  </si>
  <si>
    <t xml:space="preserve">908188dab5b79a907cf2bc081ba809f252493782e1f780a4162c33a697f9c38e</t>
  </si>
  <si>
    <t xml:space="preserve">webapp/src/apps/coin-winner/ReturnBar.jsx</t>
  </si>
  <si>
    <t xml:space="preserve">978eafc5e5211b923b8b8c743b1cfb1826ced7cccb94e1425b42352e133c8dbf</t>
  </si>
  <si>
    <t xml:space="preserve">webapp/src/apps/coin-winner/TradingPage.jsx</t>
  </si>
  <si>
    <t xml:space="preserve">be6b9d59ce4488abd7b19921b2829ef553a28f9c2a3a095a4e7c79eeeff0a7b7</t>
  </si>
  <si>
    <t xml:space="preserve">webapp/src/apps/coin-winner/WithdrawalPage.jsx</t>
  </si>
  <si>
    <t xml:space="preserve">b23282ca7dc2cf1a3ff69933582c7167344b51ecc81137782b7876494ea4f18e</t>
  </si>
  <si>
    <t xml:space="preserve">webapp/src/apps/coin-winner/assets/link-preview.svg</t>
  </si>
  <si>
    <t xml:space="preserve">.svg</t>
  </si>
  <si>
    <t xml:space="preserve">f68740c00b7482a2f6faf669344a8fa0378cbc159fb3ed16231a568d5c02e3f3</t>
  </si>
  <si>
    <t xml:space="preserve">webapp/src/apps/coin-winner/brand.js</t>
  </si>
  <si>
    <t xml:space="preserve">97726a130f92b204961702687ebb484d639cb08d14742dcdfd3701035de64222</t>
  </si>
  <si>
    <t xml:space="preserve">webapp/src/apps/coin-winner/catalog.js</t>
  </si>
  <si>
    <t xml:space="preserve">8e77fc2ec28905d4a50931427275a08d3b071015b3e6771c744195232eb9c6df</t>
  </si>
  <si>
    <t xml:space="preserve">webapp/src/apps/coin-winner/homeVisit.js</t>
  </si>
  <si>
    <t xml:space="preserve">22023001a929702baf9b956b9cca3c6ec6aaaa8c7ad494c26bebea8842a13047</t>
  </si>
  <si>
    <t xml:space="preserve">webapp/src/apps/coin-winner/i18n/en.js</t>
  </si>
  <si>
    <t xml:space="preserve">c6b9364d494781f903daaf76d02d29929c9abb385fcf30962a1ff259889c403b</t>
  </si>
  <si>
    <t xml:space="preserve">webapp/src/apps/coin-winner/i18n/index.js</t>
  </si>
  <si>
    <t xml:space="preserve">6123007015316a132b415fbcacbf3853a7958d1c1bb6938f6e584a82ff6889c0</t>
  </si>
  <si>
    <t xml:space="preserve">webapp/src/apps/coin-winner/i18n/jp.js</t>
  </si>
  <si>
    <t xml:space="preserve">8516c9c6b367f30d60a23e8b708bbc87e601f4e51464abd05c6cfe7749aab228</t>
  </si>
  <si>
    <t xml:space="preserve">webapp/src/apps/coin-winner/index.js</t>
  </si>
  <si>
    <t xml:space="preserve">ed20f648675f551e5d873cdcf0665919e78fdc2c6ae7f017f87a74a944e92f02</t>
  </si>
  <si>
    <t xml:space="preserve">webapp/src/apps/coin-winner/styles/index.css</t>
  </si>
  <si>
    <t xml:space="preserve">6500aaa23e231adbcbcdba4c042bf33d412cadb4f589d1c246d49ff447513a27</t>
  </si>
  <si>
    <t xml:space="preserve">webapp/src/apps/coin-winner/useEventCallback.js</t>
  </si>
  <si>
    <t xml:space="preserve">9da56bf45dc143b06d7a0b3c44430f6f5d6e24a5f2ef411b8abbab498c0bb4a8</t>
  </si>
  <si>
    <t xml:space="preserve">webapp/src/apps/gugo-invest/app/GuGoInvestApp.tsx</t>
  </si>
  <si>
    <r>
      <rPr>
        <sz val="10"/>
        <color rgb="FF000000"/>
        <rFont val="Noto Sans CJK SC"/>
        <family val="2"/>
      </rPr>
      <t xml:space="preserve">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GuGo Invest </t>
    </r>
    <r>
      <rPr>
        <sz val="10"/>
        <color rgb="FF000000"/>
        <rFont val="Noto Sans CJK SC"/>
        <family val="2"/>
      </rPr>
      <t xml:space="preserve">股購投資</t>
    </r>
  </si>
  <si>
    <t xml:space="preserve">.tsx</t>
  </si>
  <si>
    <t xml:space="preserve">4c143e73ea683df942a501c131a90e0ec0648a9a5f419d8cb089448cb1faa46b</t>
  </si>
  <si>
    <t xml:space="preserve">webapp/src/apps/gugo-invest/app/OnboardingGate.tsx</t>
  </si>
  <si>
    <t xml:space="preserve">1284b73e5fd60edabb70b4e430b8ca14317e6ad9986454b51771e2ca4d9147ea</t>
  </si>
  <si>
    <t xml:space="preserve">webapp/src/apps/gugo-invest/app/components/charts/AreaTrendChart.tsx</t>
  </si>
  <si>
    <t xml:space="preserve">b96087338af48c7a7d166b91d25f136371832f9e06879f83983f84369aab83b3</t>
  </si>
  <si>
    <t xml:space="preserve">webapp/src/apps/gugo-invest/app/components/charts/ChartAttribution.tsx</t>
  </si>
  <si>
    <t xml:space="preserve">e2b19755ffdb11164f82a979b23b3629d6a9426fa108803d64bdd714bb75dfef</t>
  </si>
  <si>
    <t xml:space="preserve">webapp/src/apps/gugo-invest/app/components/charts/DonutChart.tsx</t>
  </si>
  <si>
    <t xml:space="preserve">6b670a37305fc63244303eb22e63dd41a14991206dd2f2cad2256692b0d25cb9</t>
  </si>
  <si>
    <t xml:space="preserve">webapp/src/apps/gugo-invest/app/components/charts/KLineChart.tsx</t>
  </si>
  <si>
    <t xml:space="preserve">cd79a9544cee87c3d58639880973a0c0300a3fd825eac3765998eaf4f2e5d62b</t>
  </si>
  <si>
    <t xml:space="preserve">webapp/src/apps/gugo-invest/app/components/charts/Sparkline.tsx</t>
  </si>
  <si>
    <t xml:space="preserve">988b7f16823399de6398c495135ec5234e700dd238c6a5df6f258a67f6a402fc</t>
  </si>
  <si>
    <t xml:space="preserve">webapp/src/apps/gugo-invest/app/components/layout/AppLayout.tsx</t>
  </si>
  <si>
    <t xml:space="preserve">d6ce9376d68c63c971ea6913115812e37b65b11e09027ddfb0090e899a07d362</t>
  </si>
  <si>
    <t xml:space="preserve">webapp/src/apps/gugo-invest/app/components/layout/BottomNav.tsx</t>
  </si>
  <si>
    <t xml:space="preserve">611f155e5d9b96c5cf7868002f78b94eebc3752ff206bac5cd6759bf2746a0d7</t>
  </si>
  <si>
    <t xml:space="preserve">webapp/src/apps/gugo-invest/app/components/layout/OnboardingLayout.tsx</t>
  </si>
  <si>
    <t xml:space="preserve">f6d56046ccecbeb87b9f75bcb11fa3cebe659ed9e44aa5f14fe4e37e0f13c8cf</t>
  </si>
  <si>
    <t xml:space="preserve">webapp/src/apps/gugo-invest/app/components/layout/PageHeader.tsx</t>
  </si>
  <si>
    <t xml:space="preserve">e90d2f05b68abe45ae174e8afefd535f6177eb9b149fa5d3b6a1caf461c50816</t>
  </si>
  <si>
    <t xml:space="preserve">webapp/src/apps/gugo-invest/app/components/layout/PlatformHeader.tsx</t>
  </si>
  <si>
    <t xml:space="preserve">0e0d954aea80bb38aac9c685057a9438946e047417e3326e5a3235893c2644d8</t>
  </si>
  <si>
    <t xml:space="preserve">webapp/src/apps/gugo-invest/app/components/layout/TopBar.tsx</t>
  </si>
  <si>
    <t xml:space="preserve">084167006c70d244505d19f590e0c25284761bcbe1cc89dcd241254ae1b4f22c</t>
  </si>
  <si>
    <t xml:space="preserve">webapp/src/apps/gugo-invest/app/components/logo/AppIcon.tsx</t>
  </si>
  <si>
    <t xml:space="preserve">612210d03c5f7993de117ef4c2730e2ab18f38cebc32e1e9f59efc266388dfe6</t>
  </si>
  <si>
    <t xml:space="preserve">webapp/src/apps/gugo-invest/app/components/logo/LogoHorizontal.tsx</t>
  </si>
  <si>
    <t xml:space="preserve">4e120f071748afb5db1c19bbedc086bab383029bcf8727c1bdd314c7701755f8</t>
  </si>
  <si>
    <t xml:space="preserve">webapp/src/apps/gugo-invest/app/components/logo/LogoMark.tsx</t>
  </si>
  <si>
    <t xml:space="preserve">c5cc2a1b8307f4204dde3f61271081544e27b0dbc62d375114bab75204fecd86</t>
  </si>
  <si>
    <t xml:space="preserve">webapp/src/apps/gugo-invest/app/components/ui/Button.tsx</t>
  </si>
  <si>
    <t xml:space="preserve">33fef0175aef6271284128c6698a3a4e1b0e6cc02c4ea9ac48dd4f7aab2c4ddd</t>
  </si>
  <si>
    <t xml:space="preserve">webapp/src/apps/gugo-invest/app/components/ui/Card.tsx</t>
  </si>
  <si>
    <t xml:space="preserve">7be7dfb6164bb7693a3fb8448edf4d7ae75365ce849c532c97e5bc52916aa0a2</t>
  </si>
  <si>
    <t xml:space="preserve">webapp/src/apps/gugo-invest/app/components/ui/LanguageSwitcher.tsx</t>
  </si>
  <si>
    <t xml:space="preserve">b96a4081d312e4334ed7622e99be68af022d8e073b0a48e664236e0fb248b812</t>
  </si>
  <si>
    <t xml:space="preserve">webapp/src/apps/gugo-invest/app/components/ui/PriceChange.tsx</t>
  </si>
  <si>
    <t xml:space="preserve">cbb00a1728303d05d4e48659ae4b80f984145afadbb5b8b5c6f64c36a8d82bfc</t>
  </si>
  <si>
    <t xml:space="preserve">webapp/src/apps/gugo-invest/app/components/ui/StockRow.tsx</t>
  </si>
  <si>
    <t xml:space="preserve">a945701ef240d9b4aabd2d40d233257044e939fe71a9a331bcd19bc7a2109588</t>
  </si>
  <si>
    <t xml:space="preserve">webapp/src/apps/gugo-invest/app/data/klineGenerator.ts</t>
  </si>
  <si>
    <t xml:space="preserve">.ts</t>
  </si>
  <si>
    <t xml:space="preserve">b4a75f652e0cb176621dadd9bcc7507b476277f86a587c93e501ee2185f7b1fe</t>
  </si>
  <si>
    <t xml:space="preserve">webapp/src/apps/gugo-invest/app/data/profitChart.ts</t>
  </si>
  <si>
    <t xml:space="preserve">a896ec7aeda46a2422dbd4981d5495e13f1762ae4351c196a384947ffda69529</t>
  </si>
  <si>
    <t xml:space="preserve">webapp/src/apps/gugo-invest/app/data/stocks.ts</t>
  </si>
  <si>
    <t xml:space="preserve">020b564c7a9238f4701a80678fa6d1da109a49112471a8713b414e6656f17b7e</t>
  </si>
  <si>
    <t xml:space="preserve">webapp/src/apps/gugo-invest/app/i18n/index.ts</t>
  </si>
  <si>
    <t xml:space="preserve">6fbd9325db8d57d808741541beeb9d779563b52adbcd08ad2eb6045adbe5c2af</t>
  </si>
  <si>
    <t xml:space="preserve">webapp/src/apps/gugo-invest/app/i18n/locales/en.json</t>
  </si>
  <si>
    <t xml:space="preserve">9bb1ee381263a6d0400241019089ed205d3e9bbdb1bdbd8547eb4d1e646a8dd6</t>
  </si>
  <si>
    <t xml:space="preserve">webapp/src/apps/gugo-invest/app/i18n/locales/jp.json</t>
  </si>
  <si>
    <t xml:space="preserve">371ede40f2debba3753dca9051975b4ddb4e3f05569f6b4a850c123fd2009ba4</t>
  </si>
  <si>
    <t xml:space="preserve">webapp/src/apps/gugo-invest/app/i18n/locales/zh-TW.json</t>
  </si>
  <si>
    <t xml:space="preserve">d4fc0c4c51c0d80dc312199940aaf87f1d82e3531593a87bbb6ea1839f8a344e</t>
  </si>
  <si>
    <t xml:space="preserve">webapp/src/apps/gugo-invest/app/i18n/useGuGoLanguage.ts</t>
  </si>
  <si>
    <t xml:space="preserve">8f3d90a9e64835f6534d2d09378a17f4737893eb250d2992076fd7ccf6e28eca</t>
  </si>
  <si>
    <t xml:space="preserve">webapp/src/apps/gugo-invest/app/index.ts</t>
  </si>
  <si>
    <t xml:space="preserve">c70f7545bc63dd3f40cf098a57afd072ee5d826e8a98a20cd09f8abd234b9436</t>
  </si>
  <si>
    <t xml:space="preserve">webapp/src/apps/gugo-invest/app/pages/Account.tsx</t>
  </si>
  <si>
    <t xml:space="preserve">c1afbe52407299d7025b5cda8f8d03cb580ecbe1ca5bcbdac91b6b691607d3f9</t>
  </si>
  <si>
    <t xml:space="preserve">webapp/src/apps/gugo-invest/app/pages/Home.tsx</t>
  </si>
  <si>
    <t xml:space="preserve">78f86a0ea17273bdd3a3ee85ba8d54aac28c7dedc4d7b0560eb63cd67c98c512</t>
  </si>
  <si>
    <t xml:space="preserve">webapp/src/apps/gugo-invest/app/pages/Markets.tsx</t>
  </si>
  <si>
    <t xml:space="preserve">e30466516bbdcb53ec683200ee0241c087aa4731805e8cac7070cd0719fc0304</t>
  </si>
  <si>
    <t xml:space="preserve">webapp/src/apps/gugo-invest/app/pages/Portfolio.tsx</t>
  </si>
  <si>
    <t xml:space="preserve">83f93391ecd24bdbf12bec0607f451cf1a91e1395434882ca65eef05e6aad706</t>
  </si>
  <si>
    <t xml:space="preserve">webapp/src/apps/gugo-invest/app/pages/StockDetail.tsx</t>
  </si>
  <si>
    <t xml:space="preserve">50fb0bab12a1c3aea6c22374695480c9a7938581571fa0ae28f6d7960b4e8022</t>
  </si>
  <si>
    <t xml:space="preserve">webapp/src/apps/gugo-invest/app/pages/onboarding/InvestOffer.tsx</t>
  </si>
  <si>
    <t xml:space="preserve">58171b46d9956fb7f0b6ef33137beb29e6dceb81b5e7ef43e9e937b2881f4bf0</t>
  </si>
  <si>
    <t xml:space="preserve">webapp/src/apps/gugo-invest/app/pages/onboarding/Register.tsx</t>
  </si>
  <si>
    <t xml:space="preserve">a02e3c6b67e64523ea034ba619c5c7656522e679588d4e6371ce39c228d5b960</t>
  </si>
  <si>
    <t xml:space="preserve">webapp/src/apps/gugo-invest/app/routing.tsx</t>
  </si>
  <si>
    <t xml:space="preserve">c15fd27e897d6036ab988979f64320a6e8b6be3c9cde1ea571f567e5b7fc0977</t>
  </si>
  <si>
    <t xml:space="preserve">webapp/src/apps/gugo-invest/app/screens/ProfitOverview.tsx</t>
  </si>
  <si>
    <t xml:space="preserve">07d35b2f20fdbb093affae709ec9b66b19568a1a8566bdebd0547b1a14f660ab</t>
  </si>
  <si>
    <t xml:space="preserve">webapp/src/apps/gugo-invest/app/screens/WithdrawalResult.tsx</t>
  </si>
  <si>
    <t xml:space="preserve">fb917b7c6445109858d6ad1b3fe12fc5f57e58b9862508e2155e201572a01318</t>
  </si>
  <si>
    <t xml:space="preserve">webapp/src/apps/gugo-invest/app/store/AppStoreContext.tsx</t>
  </si>
  <si>
    <t xml:space="preserve">df0b819fa41eeca40e090b7e6074545f95f7ff2180779fe57c953672a3394e29</t>
  </si>
  <si>
    <t xml:space="preserve">webapp/src/apps/gugo-invest/app/styles/index.css</t>
  </si>
  <si>
    <t xml:space="preserve">979814c8d9389f536cb67342a5a84c3e9d26baf2c2a2ce1492824bbd966bf40f</t>
  </si>
  <si>
    <t xml:space="preserve">webapp/src/apps/gugo-invest/app/styles/platform.css</t>
  </si>
  <si>
    <t xml:space="preserve">97d025ab9348e2ba150bc06bbfe1101f50d55f26dc65f5b5deb5bb56bded9845</t>
  </si>
  <si>
    <t xml:space="preserve">webapp/src/apps/gugo-invest/app/types/stock.ts</t>
  </si>
  <si>
    <t xml:space="preserve">65eb5c086e55219b465de8d9399260fa7a64f3551b45cc30309c24265dc023ab</t>
  </si>
  <si>
    <t xml:space="preserve">webapp/src/apps/gugo-invest/app/types/trade.ts</t>
  </si>
  <si>
    <t xml:space="preserve">7ceb91c733073bdf211a8e4b1516b9088c339121df0262cf38693490ee35f69f</t>
  </si>
  <si>
    <t xml:space="preserve">webapp/src/apps/gugo-invest/app/utils/format.ts</t>
  </si>
  <si>
    <t xml:space="preserve">56258599e06f4235c312c968b6286ad2ea3659c7a649c9dbedc4c4dfdbfb476d</t>
  </si>
  <si>
    <t xml:space="preserve">webapp/src/apps/gugo-invest/app/utils/profitAnimation.ts</t>
  </si>
  <si>
    <t xml:space="preserve">16e9e26bca8c4942bf7f9044d286cd824a4b6208640aa28e52a672a7e13c0a69</t>
  </si>
  <si>
    <t xml:space="preserve">webapp/src/apps/gugo-invest/assets/logos/logo-en.webp</t>
  </si>
  <si>
    <t xml:space="preserve">webapp/src/apps/gugo-invest/assets/logos/logo-jp.webp</t>
  </si>
  <si>
    <t xml:space="preserve">webapp/src/apps/gugo-invest/assets/logos/logo-zh.webp</t>
  </si>
  <si>
    <t xml:space="preserve">webapp/src/apps/gugo-invest/index.js</t>
  </si>
  <si>
    <t xml:space="preserve">b4c57360e5760c8f9fb3e352dffe8063804a159d0247d8000f3a45c4959c0a7b</t>
  </si>
  <si>
    <t xml:space="preserve">webapp/src/apps/hpe-logistics/assets/hpe-delivery-icon.webp</t>
  </si>
  <si>
    <r>
      <rPr>
        <sz val="10"/>
        <color rgb="FF000000"/>
        <rFont val="Noto Sans CJK SC"/>
        <family val="2"/>
      </rPr>
      <t xml:space="preserve">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：黑皮通 </t>
    </r>
    <r>
      <rPr>
        <sz val="10"/>
        <color rgb="FF000000"/>
        <rFont val="Arial"/>
        <family val="0"/>
        <charset val="1"/>
      </rPr>
      <t xml:space="preserve">HPE Logistics</t>
    </r>
  </si>
  <si>
    <t xml:space="preserve">webapp/src/apps/hpe-logistics/assets/hpe-logo-horizontal.webp</t>
  </si>
  <si>
    <t xml:space="preserve">webapp/src/apps/hpe-logistics/brand/index.js</t>
  </si>
  <si>
    <t xml:space="preserve">6dbdf56de2d3bacd28d6b8a6602879cede323d07aa69f72bf5c3e93d3d632537</t>
  </si>
  <si>
    <t xml:space="preserve">webapp/src/apps/hpe-logistics/components/HpeLogo.jsx</t>
  </si>
  <si>
    <t xml:space="preserve">fb989fc357a67bd8e24d096ad508e5b05bfafc5f6827fe2cf6cb6c2b4f8f88bf</t>
  </si>
  <si>
    <t xml:space="preserve">webapp/src/apps/hpe-logistics/components/HpeShell.jsx</t>
  </si>
  <si>
    <t xml:space="preserve">67ab8610c91bcf6c04c68839bc92dfc40b574b57820c1ac7550f40e396184cb0</t>
  </si>
  <si>
    <t xml:space="preserve">webapp/src/apps/hpe-logistics/components/HpeShipmentCard.jsx</t>
  </si>
  <si>
    <t xml:space="preserve">41961ab7efe2370c7adcc51a9bf65170380a5674fde03fcb98c8ec76aa399e07</t>
  </si>
  <si>
    <t xml:space="preserve">webapp/src/apps/hpe-logistics/components/HpeStatusBadge.jsx</t>
  </si>
  <si>
    <t xml:space="preserve">d40f83bf1eeac639b96b8e9d97d4b255e7f5038d3a3b832bbecc7af338c8a133</t>
  </si>
  <si>
    <t xml:space="preserve">webapp/src/apps/hpe-logistics/components/HpeTrackingTimeline.jsx</t>
  </si>
  <si>
    <t xml:space="preserve">03623d878ff5f8385b5d74a23512d52bcc835240941a6e787cbe7a75406946dd</t>
  </si>
  <si>
    <t xml:space="preserve">webapp/src/apps/hpe-logistics/i18n/en.js</t>
  </si>
  <si>
    <t xml:space="preserve">d7646bb53a1ed0f82107f6dc360b1ca5bf773dd127f92e0cd5d3764b08d75a9d</t>
  </si>
  <si>
    <t xml:space="preserve">webapp/src/apps/hpe-logistics/i18n/index.js</t>
  </si>
  <si>
    <t xml:space="preserve">c29c7fe38bd3808839e362b7183983bb9b7a8008f7150be62c003e976cdd3d54</t>
  </si>
  <si>
    <t xml:space="preserve">webapp/src/apps/hpe-logistics/i18n/jp.js</t>
  </si>
  <si>
    <t xml:space="preserve">dff2f11769c14f04cbd94e9fbed751f7e1c2fc045bc6429bce988d919bdbab88</t>
  </si>
  <si>
    <t xml:space="preserve">webapp/src/apps/hpe-logistics/index.js</t>
  </si>
  <si>
    <t xml:space="preserve">6731c476799e9755efbed6d169b57267579f58982be584e8d5e206da2b3b877f</t>
  </si>
  <si>
    <t xml:space="preserve">webapp/src/apps/hpe-logistics/screens/HpeTrackingScreen.jsx</t>
  </si>
  <si>
    <t xml:space="preserve">c2de7a6e726b16a8a781a213d5c883cd8864b7b2337a383cbb2e594feb29ca1a</t>
  </si>
  <si>
    <t xml:space="preserve">webapp/src/apps/hpe-logistics/state/index.js</t>
  </si>
  <si>
    <t xml:space="preserve">2562c261e760b6819549aafd26c77b4dd0d95b059cdc2f6f9852802c965d3e6a</t>
  </si>
  <si>
    <t xml:space="preserve">webapp/src/apps/hpe-logistics/styles/index.css</t>
  </si>
  <si>
    <t xml:space="preserve">d2273d77308d13867d38b21c7f27d2a3f73be496ead159aa06813b74d89abaff</t>
  </si>
  <si>
    <t xml:space="preserve">webapp/src/apps/line/components/Line.jsx</t>
  </si>
  <si>
    <r>
      <rPr>
        <sz val="10"/>
        <color rgb="FF000000"/>
        <rFont val="Noto Sans CJK SC"/>
        <family val="2"/>
      </rPr>
      <t xml:space="preserve">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LINE </t>
    </r>
    <r>
      <rPr>
        <sz val="10"/>
        <color rgb="FF000000"/>
        <rFont val="Noto Sans CJK SC"/>
        <family val="2"/>
      </rPr>
      <t xml:space="preserve">對話外殼</t>
    </r>
  </si>
  <si>
    <t xml:space="preserve">89188e4312ece9c4a51fc07791706cce1ddb5b7f9a82499f65e4c1c5f8dc9e02</t>
  </si>
  <si>
    <t xml:space="preserve">webapp/src/apps/line/components/LineWebsitePreview.jsx</t>
  </si>
  <si>
    <t xml:space="preserve">5ffda99a065de03966b58ddc7acc3e1a63b9e487172994d8b41297777c990fb7</t>
  </si>
  <si>
    <t xml:space="preserve">webapp/src/apps/line/index.js</t>
  </si>
  <si>
    <t xml:space="preserve">9adea383866ebc21812a926eb7782c11ea8315e156675b2c16011f190c1c9775</t>
  </si>
  <si>
    <t xml:space="preserve">webapp/src/apps/line/styles/line.css</t>
  </si>
  <si>
    <t xml:space="preserve">483c17d358fa4c5aa9bab474ee0ac20bb053fa31d4f4d8e0371c6617fd11ee10</t>
  </si>
  <si>
    <t xml:space="preserve">webapp/src/apps/meetu/assets/meetu-icon.webp</t>
  </si>
  <si>
    <r>
      <rPr>
        <sz val="10"/>
        <color rgb="FF000000"/>
        <rFont val="Noto Sans CJK SC"/>
        <family val="2"/>
      </rPr>
      <t xml:space="preserve">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MeetU </t>
    </r>
    <r>
      <rPr>
        <sz val="10"/>
        <color rgb="FF000000"/>
        <rFont val="Noto Sans CJK SC"/>
        <family val="2"/>
      </rPr>
      <t xml:space="preserve">覓友</t>
    </r>
  </si>
  <si>
    <t xml:space="preserve">webapp/src/apps/meetu/assets/meetu-logo-compact.webp</t>
  </si>
  <si>
    <t xml:space="preserve">webapp/src/apps/meetu/assets/meetu-logo.webp</t>
  </si>
  <si>
    <t xml:space="preserve">webapp/src/apps/meetu/assets/meetu-match-success-logo.webp</t>
  </si>
  <si>
    <t xml:space="preserve">webapp/src/apps/meetu/brand/manifest.js</t>
  </si>
  <si>
    <t xml:space="preserve">0d077cc767077ff362f2802f0f69821ecb13a83572543b69785fb0b97d5b68ca</t>
  </si>
  <si>
    <t xml:space="preserve">webapp/src/apps/meetu/components/MatchOverlay.jsx</t>
  </si>
  <si>
    <t xml:space="preserve">03a05d6771fb0291e295f881847262b46f03d40a0ba7eed724b447a2a6930691</t>
  </si>
  <si>
    <t xml:space="preserve">webapp/src/apps/meetu/components/MeetUAppShell.jsx</t>
  </si>
  <si>
    <t xml:space="preserve">b7e864f75ee2de84f7ff943fa723a27e4ae0c6b188ef5709a005cf92bf4a634c</t>
  </si>
  <si>
    <t xml:space="preserve">webapp/src/apps/meetu/components/MeetUBottomNav.jsx</t>
  </si>
  <si>
    <t xml:space="preserve">e02ef7de7e2682f11070853282a11b72769f16ab6fced0b5ca284f73e933957f</t>
  </si>
  <si>
    <t xml:space="preserve">webapp/src/apps/meetu/components/MeetUChatSurface.jsx</t>
  </si>
  <si>
    <t xml:space="preserve">804a7fa9297411e2d71b84128a7570330edf2c265b90826dc6a0dbff8b3204ee</t>
  </si>
  <si>
    <t xml:space="preserve">webapp/src/apps/meetu/components/MeetUHeader.jsx</t>
  </si>
  <si>
    <t xml:space="preserve">dd0b7e7ad4c9b10e196dc609ee6fba1493ee4e7fe27f36f51845f188590fc815</t>
  </si>
  <si>
    <t xml:space="preserve">webapp/src/apps/meetu/components/MeetUInterstitial.jsx</t>
  </si>
  <si>
    <t xml:space="preserve">f860fddc35abc933e77fe6b59c27bbe32610bb5f550df97dd11eedf77e81c059</t>
  </si>
  <si>
    <t xml:space="preserve">webapp/src/apps/meetu/components/MeetULogo.jsx</t>
  </si>
  <si>
    <t xml:space="preserve">312217181a6eff3c77b84b94323459b846a3c8839f9bd3dc2a88e6a570d77809</t>
  </si>
  <si>
    <t xml:space="preserve">webapp/src/apps/meetu/components/MeetUSwipeActions.jsx</t>
  </si>
  <si>
    <t xml:space="preserve">77b7db1684f667047168d8d628775c441077357a6344e8918bc679b6bd6f2986</t>
  </si>
  <si>
    <t xml:space="preserve">webapp/src/apps/meetu/components/ProfileAvatar.jsx</t>
  </si>
  <si>
    <t xml:space="preserve">4fe88efdb524ceaea926e9bce9397982f91d6ed50afba50c0505cad327b62959</t>
  </si>
  <si>
    <t xml:space="preserve">webapp/src/apps/meetu/components/ProfileCard.jsx</t>
  </si>
  <si>
    <t xml:space="preserve">a3314ea060dc07439faf5bb85c426175af83e3d5f06b6d47af9a8fc811f9f88b</t>
  </si>
  <si>
    <t xml:space="preserve">webapp/src/apps/meetu/components/SuggestedReplies.jsx</t>
  </si>
  <si>
    <t xml:space="preserve">be0a7ef19d1d7a330e5cbd277afebde42746118e93681be2b9c33d5104379775</t>
  </si>
  <si>
    <t xml:space="preserve">webapp/src/apps/meetu/i18n/en.js</t>
  </si>
  <si>
    <t xml:space="preserve">782c08af0d6a066ef286501059f3ac781ed6171dff77d04c3b4b3a5c052ae069</t>
  </si>
  <si>
    <t xml:space="preserve">webapp/src/apps/meetu/i18n/index.js</t>
  </si>
  <si>
    <t xml:space="preserve">50fe31de7b1d112692b414978b9516d72a84f5c08038c4cb94cae0459a881eb0</t>
  </si>
  <si>
    <t xml:space="preserve">webapp/src/apps/meetu/i18n/jp.js</t>
  </si>
  <si>
    <t xml:space="preserve">f4c9915b94f9cd8302c6f1d443b7fa0c5fcfc02f921ea0e31b269c0cf1b4a522</t>
  </si>
  <si>
    <t xml:space="preserve">webapp/src/apps/meetu/index.js</t>
  </si>
  <si>
    <t xml:space="preserve">7f779e7c666dbdf77841cff8e390429891c82af0c7dc2aa2088836239548ec58</t>
  </si>
  <si>
    <t xml:space="preserve">webapp/src/apps/meetu/screens/MeetUBrowseScreen.jsx</t>
  </si>
  <si>
    <t xml:space="preserve">dd4558fdd3ac79dc0e07ec2a5c7a8e1e8dc95b78809748528617ff54a57edfb5</t>
  </si>
  <si>
    <t xml:space="preserve">webapp/src/apps/meetu/screens/MeetUHomeScreenTile.jsx</t>
  </si>
  <si>
    <t xml:space="preserve">a3ad50774cd19c6a88201ced9d48f9195283d639cdc8292866e37d96dba40582</t>
  </si>
  <si>
    <t xml:space="preserve">webapp/src/apps/meetu/screens/MeetULandingScreen.jsx</t>
  </si>
  <si>
    <t xml:space="preserve">c53a47615d3f0c7e04cc42d5e3320c82a1c4297746f6dd29c714f2f2a15fb27e</t>
  </si>
  <si>
    <t xml:space="preserve">webapp/src/apps/meetu/styles/index.css</t>
  </si>
  <si>
    <t xml:space="preserve">86a7305985dec135f3758606947e1c50c2dfbb3b3c237e6f6656325fd641b365</t>
  </si>
  <si>
    <t xml:space="preserve">webapp/src/apps/mydondon/assets/mydondon-app-icon.webp</t>
  </si>
  <si>
    <r>
      <rPr>
        <sz val="10"/>
        <color rgb="FF000000"/>
        <rFont val="Noto Sans CJK SC"/>
        <family val="2"/>
      </rPr>
      <t xml:space="preserve">模擬 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：買東東 </t>
    </r>
    <r>
      <rPr>
        <sz val="10"/>
        <color rgb="FF000000"/>
        <rFont val="Arial"/>
        <family val="0"/>
        <charset val="1"/>
      </rPr>
      <t xml:space="preserve">MyDonDon</t>
    </r>
    <r>
      <rPr>
        <sz val="10"/>
        <color rgb="FF000000"/>
        <rFont val="Noto Sans CJK SC"/>
        <family val="2"/>
      </rPr>
      <t xml:space="preserve">（二手交易平台）</t>
    </r>
  </si>
  <si>
    <t xml:space="preserve">webapp/src/apps/mydondon/assets/mydondon-logo-horizontal.webp</t>
  </si>
  <si>
    <t xml:space="preserve">webapp/src/apps/mydondon/assets/mydondon-logo-stacked.webp</t>
  </si>
  <si>
    <t xml:space="preserve">webapp/src/apps/mydondon/assets/mydondon-logo-white.webp</t>
  </si>
  <si>
    <t xml:space="preserve">webapp/src/apps/mydondon/assets/mydondon-wordmark-cn.webp</t>
  </si>
  <si>
    <t xml:space="preserve">webapp/src/apps/mydondon/assets/mydondon-wordmark.webp</t>
  </si>
  <si>
    <t xml:space="preserve">webapp/src/apps/mydondon/assets/stroller.webp</t>
  </si>
  <si>
    <t xml:space="preserve">webapp/src/apps/mydondon/assets/tablet.webp</t>
  </si>
  <si>
    <t xml:space="preserve">webapp/src/apps/mydondon/brand/manifest.js</t>
  </si>
  <si>
    <t xml:space="preserve">b346bce9aa0ff70f94fe3546b3dba66abf62d6d1ec3e5475f812247e4285c194</t>
  </si>
  <si>
    <t xml:space="preserve">webapp/src/apps/mydondon/components/Avatar.jsx</t>
  </si>
  <si>
    <t xml:space="preserve">c0531db768976541cfea2e0cfbdf33f81fb5712db2aac601a688979a14894f1d</t>
  </si>
  <si>
    <t xml:space="preserve">webapp/src/apps/mydondon/components/ChatScreen.jsx</t>
  </si>
  <si>
    <t xml:space="preserve">19ad974c79e84265ec2997712f9a8231730072db28d8657f864029b4955cbaec</t>
  </si>
  <si>
    <t xml:space="preserve">webapp/src/apps/mydondon/components/ChoiceList.jsx</t>
  </si>
  <si>
    <t xml:space="preserve">0f5502c0a7ea8b89390c17aae3098b9dcb5c28cb2fb2b807f3840b3bcbef5eb3</t>
  </si>
  <si>
    <t xml:space="preserve">webapp/src/apps/mydondon/components/MyDonDonBottomNav.jsx</t>
  </si>
  <si>
    <t xml:space="preserve">ade1ee4e397e2b5a20c259c8b4dccb736b5100de54fd104876e94a54fe380295</t>
  </si>
  <si>
    <t xml:space="preserve">webapp/src/apps/mydondon/components/MyDonDonHeader.jsx</t>
  </si>
  <si>
    <t xml:space="preserve">c71ae9dd579c7210c6cad562b88bf08d5096b73d46092f06b20a6d5875c0bcc9</t>
  </si>
  <si>
    <t xml:space="preserve">webapp/src/apps/mydondon/components/MyDonDonLogo.jsx</t>
  </si>
  <si>
    <t xml:space="preserve">d815b517fdbeba3099f3f516d3d8f08ff40a60dfda07a3e43a0675d9989249c2</t>
  </si>
  <si>
    <t xml:space="preserve">webapp/src/apps/mydondon/components/MyDonDonPushNotice.jsx</t>
  </si>
  <si>
    <t xml:space="preserve">e40fa2ac6b4c8adebd95da34c2a560f07ac05cc9a445e4994a6984f86029ffe6</t>
  </si>
  <si>
    <t xml:space="preserve">webapp/src/apps/mydondon/components/PhoneShell.jsx</t>
  </si>
  <si>
    <t xml:space="preserve">dc51ac2ebca0cbbc767c6d0e4847e27c4cd6b586c6834d741a607ba59ccfd1e2</t>
  </si>
  <si>
    <t xml:space="preserve">webapp/src/apps/mydondon/components/Placeholder.jsx</t>
  </si>
  <si>
    <t xml:space="preserve">90f4065c653ca0b152412dc6b4a2ac88bd1fd8dc4a71c9104f3630d7a9695f99</t>
  </si>
  <si>
    <t xml:space="preserve">webapp/src/apps/mydondon/components/ProductPhoto.jsx</t>
  </si>
  <si>
    <t xml:space="preserve">e2f2e4eef0c6ac09b5327c356b2bfafb9f91b9123c10f28c339420d030a1b4cd</t>
  </si>
  <si>
    <t xml:space="preserve">webapp/src/apps/mydondon/data/catalog.js</t>
  </si>
  <si>
    <t xml:space="preserve">6f333398d17223b2e050b648a7b53b92d0b618dcf34e72ebfb9cb9d283b304bf</t>
  </si>
  <si>
    <t xml:space="preserve">webapp/src/apps/mydondon/i18n/en.js</t>
  </si>
  <si>
    <t xml:space="preserve">699381c2b1673216a3602d28775213003b7c0bed48e93770335378523cd674ea</t>
  </si>
  <si>
    <t xml:space="preserve">webapp/src/apps/mydondon/i18n/index.js</t>
  </si>
  <si>
    <t xml:space="preserve">2adc02e31cbaf36ae9a8992706d371c3cc8053aed5f5f0aa09dbc9e94571c7bd</t>
  </si>
  <si>
    <t xml:space="preserve">webapp/src/apps/mydondon/i18n/jp.js</t>
  </si>
  <si>
    <t xml:space="preserve">1b07ef0d366ca1d240df9956e55b9dbbf4a321883acba8f6156eb863538352d3</t>
  </si>
  <si>
    <t xml:space="preserve">webapp/src/apps/mydondon/index.js</t>
  </si>
  <si>
    <t xml:space="preserve">2a943346e001c509e645b7c973f7621382822940001f6b3629ab360904eec3fa</t>
  </si>
  <si>
    <t xml:space="preserve">webapp/src/apps/mydondon/screens/Home.jsx</t>
  </si>
  <si>
    <t xml:space="preserve">f9a74a5dec8cb8c102fc4de7fc8593c6afc9237e1914456933f2919b99de0e1d</t>
  </si>
  <si>
    <t xml:space="preserve">webapp/src/apps/mydondon/screens/Listing.jsx</t>
  </si>
  <si>
    <t xml:space="preserve">ecabffdf314d4dec052e96d52afcc1a8753c4d77804564d165490c87c9548cd3</t>
  </si>
  <si>
    <t xml:space="preserve">webapp/src/apps/mydondon/screens/MyDonDonOrders.jsx</t>
  </si>
  <si>
    <t xml:space="preserve">0bd1f6d4cd7566c89316584f5ae1a03fc7ce6ebfd10501c5903f2b2097ddc4da</t>
  </si>
  <si>
    <t xml:space="preserve">webapp/src/apps/mydondon/screens/PhoneHome.jsx</t>
  </si>
  <si>
    <t xml:space="preserve">ffcfc065ea0834dd7d082018321cf538977c94636ba8265be4c1372af536039d</t>
  </si>
  <si>
    <t xml:space="preserve">webapp/src/apps/mydondon/screens/ProductSelect.jsx</t>
  </si>
  <si>
    <t xml:space="preserve">2d345df421861ebf68205af05a9bc1350f6dd1c472b1ba27401c3470cdcbd514</t>
  </si>
  <si>
    <t xml:space="preserve">webapp/src/apps/mydondon/styles/index.css</t>
  </si>
  <si>
    <t xml:space="preserve">5f8be22ef84760d42e8fd3b1360dd8c4977354d6aaa249c66c58748d42be4e0e</t>
  </si>
  <si>
    <t xml:space="preserve">webapp/src/assets/scenarios/scenario-01/images/entry-hero.webp</t>
  </si>
  <si>
    <t xml:space="preserve">webapp/src/assets/scenarios/scenario-01/images/fb-ad-creative.webp</t>
  </si>
  <si>
    <t xml:space="preserve">webapp/src/assets/scenarios/scenario-02/images/entry-hero.webp</t>
  </si>
  <si>
    <t xml:space="preserve">webapp/src/assets/scenarios/scenario-03/images/entry-hero.webp</t>
  </si>
  <si>
    <t xml:space="preserve">webapp/src/assets/scenarios/scenario-04/images/entry-hero.webp</t>
  </si>
  <si>
    <t xml:space="preserve">webapp/src/assets/scenarios/scenario-05/images/README.md</t>
  </si>
  <si>
    <t xml:space="preserve">6aa649933748380cbc26690bca99a2af918730ab959ad0bfd9fcb6e27514df77</t>
  </si>
  <si>
    <t xml:space="preserve">webapp/src/assets/scenarios/scenario-05/images/entry-hero.webp</t>
  </si>
  <si>
    <t xml:space="preserve">webapp/src/components/debug/ARGestureDebugOverlay.jsx</t>
  </si>
  <si>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手勢互動</t>
    </r>
  </si>
  <si>
    <t xml:space="preserve">f9d637d6d2c2f26c7c62d4e91e5f047b1b374df02d66afa0f3cb979ffee50478</t>
  </si>
  <si>
    <t xml:space="preserve">webapp/src/components/hints/InteractionHint.css</t>
  </si>
  <si>
    <t xml:space="preserve">6a451cea5b161483fbca00e24a2d2a0055ea340df25b0d8406a83b31f77e0bf9</t>
  </si>
  <si>
    <t xml:space="preserve">webapp/src/components/hints/InteractionHint.jsx</t>
  </si>
  <si>
    <t xml:space="preserve">dcd91908737bec5b53d29a3aa8860e3180032db80c2d495076a2c8515b69c6df</t>
  </si>
  <si>
    <t xml:space="preserve">webapp/src/components/hints/interactionHintBand.js</t>
  </si>
  <si>
    <t xml:space="preserve">9183c37e21bfa984980a5a88a9ca64a282a081cb4afd3667ae1c3e8490cbff16</t>
  </si>
  <si>
    <t xml:space="preserve">webapp/src/components/hints/interactionHintI18n.js</t>
  </si>
  <si>
    <t xml:space="preserve">4c1b3558b4fa1d82634b7a8613d624dbc430be771f94dbc38619fadf38b8dc13</t>
  </si>
  <si>
    <t xml:space="preserve">webapp/src/components/native/NativeGestureBridge.jsx</t>
  </si>
  <si>
    <t xml:space="preserve">0d0e11eb0dfecff75f6521c51c3cda84ea5277c6953ffe162a89186d69a455ea</t>
  </si>
  <si>
    <t xml:space="preserve">webapp/src/components/outcome/FraudClueAnalysis.css</t>
  </si>
  <si>
    <t xml:space="preserve">共用體驗元件</t>
  </si>
  <si>
    <t xml:space="preserve">7cb75b10535dd615e5456d298eec30b222ad3e96cc0a3a643d818d4638c920fe</t>
  </si>
  <si>
    <t xml:space="preserve">webapp/src/components/outcome/FraudClueAnalysis.jsx</t>
  </si>
  <si>
    <t xml:space="preserve">dce58b1d187cbcd8f0047aa4f7647093379fdb3ba07cbb7af4aca160715d551d</t>
  </si>
  <si>
    <t xml:space="preserve">webapp/src/components/outcome/ScenarioOutcome.css</t>
  </si>
  <si>
    <t xml:space="preserve">3f8d191135747fc3454b6fe589a1cd60d41ef7107d45d0de6ac7fbfad17e05dd</t>
  </si>
  <si>
    <t xml:space="preserve">webapp/src/components/outcome/ScenarioOutcome.jsx</t>
  </si>
  <si>
    <t xml:space="preserve">b5358c7d3e94da597e50fbb2bd19b17e4be2e0d386ebf61de54dc41678eff7df</t>
  </si>
  <si>
    <t xml:space="preserve">webapp/src/components/outcome/outcomeContract.js</t>
  </si>
  <si>
    <t xml:space="preserve">7a52667e40c33275af1d29481ce59f86dd10999eb93e63db7ed1a3748a973fb7</t>
  </si>
  <si>
    <t xml:space="preserve">webapp/src/components/outcome/outcomeStrings.js</t>
  </si>
  <si>
    <t xml:space="preserve">c11cb9ca090fd2c5c1d0bae2b6ae80420c1a7e4e890c93fc25fd0a02456bacf9</t>
  </si>
  <si>
    <t xml:space="preserve">webapp/src/components/outcome/resultMascots.js</t>
  </si>
  <si>
    <t xml:space="preserve">e9fd5b06e7f66f496a7deaaff0d9456eb4d8a14ebfa9e9bf1fc1e825fcaa240f</t>
  </si>
  <si>
    <t xml:space="preserve">webapp/src/components/ui/Button.jsx</t>
  </si>
  <si>
    <t xml:space="preserve">286f9feac19a103e256577d4961097d6b2fac79027fc69bbfe1634fdc9b18e25</t>
  </si>
  <si>
    <t xml:space="preserve">webapp/src/components/ui/ButtonGroup.jsx</t>
  </si>
  <si>
    <t xml:space="preserve">91d528f8a67f0ccfb7553f96490f13e74013ce3e23a07dbc340c354e8ae39d61</t>
  </si>
  <si>
    <t xml:space="preserve">webapp/src/components/ui/Card.jsx</t>
  </si>
  <si>
    <t xml:space="preserve">e4d3866a76454189dbeb57af292edd809a96b0237bc788ed37a5cfe3d10a48d0</t>
  </si>
  <si>
    <t xml:space="preserve">webapp/src/components/ui/ScenarioEntryBriefing.css</t>
  </si>
  <si>
    <t xml:space="preserve">9ca087a0d4b81780267debe4df08acecf703186f889400aad87a74929bb51f0e</t>
  </si>
  <si>
    <t xml:space="preserve">webapp/src/components/ui/ScenarioEntryBriefing.jsx</t>
  </si>
  <si>
    <t xml:space="preserve">f4de644b0f55b4074d8fc556f2987794f735092a1418818d4cfeeeb7c3db46f9</t>
  </si>
  <si>
    <t xml:space="preserve">webapp/src/components/ui/ScenarioEntryHero.jsx</t>
  </si>
  <si>
    <t xml:space="preserve">200ab66844f379412482764d21d30b3f132738c222accba0f67afe1ef3e71acf</t>
  </si>
  <si>
    <t xml:space="preserve">webapp/src/components/ui/ScenarioFinalDecision.css</t>
  </si>
  <si>
    <t xml:space="preserve">6b6b68d70624bbf89c83f0ecbf4eef3e40d9ed64778daf0c2bed7b110c2934ac</t>
  </si>
  <si>
    <t xml:space="preserve">webapp/src/components/ui/ScenarioFinalDecision.jsx</t>
  </si>
  <si>
    <t xml:space="preserve">d951ba0ff3a3fac682386b4e9c85a5dfeeba6ea80e372dfb6ec250ba177ad869</t>
  </si>
  <si>
    <t xml:space="preserve">webapp/src/components/warnings/FraudWarningBanner.css</t>
  </si>
  <si>
    <t xml:space="preserve">4b66ff3f3927a230ec801ee2f0e8a9fcbc0510c817f9bdbd46ac5c6fa2cadfdd</t>
  </si>
  <si>
    <t xml:space="preserve">webapp/src/components/warnings/FraudWarningBanner.jsx</t>
  </si>
  <si>
    <t xml:space="preserve">301517d7bb17506622dbfffcb8d9c406dc890d2cc5e507994fd29f959e390be0</t>
  </si>
  <si>
    <t xml:space="preserve">webapp/src/data/dialogueTrees/delay.js</t>
  </si>
  <si>
    <t xml:space="preserve">fb49af4f3266c667b97699670a9b06ee4fef033a1f9dbdafb0413d3308e879d2</t>
  </si>
  <si>
    <t xml:space="preserve">webapp/src/data/dialogueTrees/health.js</t>
  </si>
  <si>
    <t xml:space="preserve">ba27d63c36af28c3c80bf1a4bd7201b4e366e95c5eab8356f75df4c7e782adf1</t>
  </si>
  <si>
    <t xml:space="preserve">webapp/src/data/dialogueTrees/luckyBag.js</t>
  </si>
  <si>
    <t xml:space="preserve">236e81916e4f8947b69d9d008551dccee0be87c8041e0be1b788e18ea9c81169</t>
  </si>
  <si>
    <t xml:space="preserve">webapp/src/data/dialogueTrees/platformSupport.js</t>
  </si>
  <si>
    <t xml:space="preserve">ec670938ac82089b9b5b38187f563a4bf2bdec79f9d14c5680337bd067fb5355</t>
  </si>
  <si>
    <t xml:space="preserve">webapp/src/data/dialogueTrees/returnAck.js</t>
  </si>
  <si>
    <t xml:space="preserve">fb08001424518253e980a7f8fcb26181f196df9ac1dc47ccdd04b626e520e205</t>
  </si>
  <si>
    <t xml:space="preserve">webapp/src/data/location/localizedLocationNames.js</t>
  </si>
  <si>
    <t xml:space="preserve">0fb7f3a6f5236975948c8a63c4b803c0dd78a783b150db0cfe76902446899849</t>
  </si>
  <si>
    <t xml:space="preserve">webapp/src/data/location/locationDataset.js</t>
  </si>
  <si>
    <t xml:space="preserve">8491e9e9d9eb0a39bcb69ce1ff36565716bb2519a708e4fd0ca923856a21f69b</t>
  </si>
  <si>
    <t xml:space="preserve">webapp/src/data/location/policeOrganization.js</t>
  </si>
  <si>
    <t xml:space="preserve">56754c28dd4be663a05b31a7aedee832af0eb21e6b242edea972bbfae40fdea8</t>
  </si>
  <si>
    <t xml:space="preserve">webapp/src/data/scenario03Choices.js</t>
  </si>
  <si>
    <t xml:space="preserve">8d02c20e2c80c5da78918ea44cef70ec2dc6f4871e2b94594e5739a8543ae4b8</t>
  </si>
  <si>
    <t xml:space="preserve">webapp/src/data/scenario03Config.js</t>
  </si>
  <si>
    <t xml:space="preserve">9230ef85378946b599f1ade47b90b5d87d4168ab98529745df5544fb435b077a</t>
  </si>
  <si>
    <t xml:space="preserve">webapp/src/data/scenario03Dialogues.js</t>
  </si>
  <si>
    <t xml:space="preserve">6bb0a4fd5d48fe490839131fd33d4126ae7d3f1f74afeff1ad1c514c30a77212</t>
  </si>
  <si>
    <t xml:space="preserve">webapp/src/data/scenario05Characters.js</t>
  </si>
  <si>
    <t xml:space="preserve">e9a9849236923f176eb760c23f224b5e2ea553151a9cbfe990d6ac849de301a2</t>
  </si>
  <si>
    <t xml:space="preserve">webapp/src/data/scenario05Dialogues.js</t>
  </si>
  <si>
    <t xml:space="preserve">4473e2e2dc575bd696e1bb020332bb7cef993c89ead39449fb40fe3574f9f6f5</t>
  </si>
  <si>
    <t xml:space="preserve">webapp/src/data/scenario05FakeSite.js</t>
  </si>
  <si>
    <t xml:space="preserve">b328027cd696f2438e54203733d3b87a1433ecbfc45d1d4ef6fe6d40b242d047</t>
  </si>
  <si>
    <t xml:space="preserve">webapp/src/data/scenario05Verification.js</t>
  </si>
  <si>
    <t xml:space="preserve">523e04e6f39c23fef1a9a6a5d1db79ae07001d06beefa15acd70fc79aff86c13</t>
  </si>
  <si>
    <t xml:space="preserve">webapp/src/data/scenarioConfig.js</t>
  </si>
  <si>
    <t xml:space="preserve">2f8b1cc3d04dacf170501bf0cb0828c8fe456acfd64e3e0e2c833634971cc4a3</t>
  </si>
  <si>
    <t xml:space="preserve">webapp/src/data/scenarioEntries.js</t>
  </si>
  <si>
    <t xml:space="preserve">入口流程與工作人員管理模式</t>
  </si>
  <si>
    <t xml:space="preserve">57f8e4220dcb8dc8d30e8da127b765e9ff10964e0657d3500961dbbe350c6d61</t>
  </si>
  <si>
    <t xml:space="preserve">webapp/src/data/warnings/warningRegistry.js</t>
  </si>
  <si>
    <t xml:space="preserve">6ef04fbdddee28bb75ea375f2fb6acbdbc7090ff429385d63baf39cdcdba6c7e</t>
  </si>
  <si>
    <t xml:space="preserve">webapp/src/experience/characters/casting.js</t>
  </si>
  <si>
    <t xml:space="preserve">dcd46c8130d746c648f438056db74e76f9b27648c4c33e7c4f5ea949f06bb057</t>
  </si>
  <si>
    <t xml:space="preserve">webapp/src/experience/characters/characterSystem.test.js</t>
  </si>
  <si>
    <t xml:space="preserve">a34a1bb33416c93f13d7d9a512504804a254e3fb7868e8a01cc45a6ba2a8b8a6</t>
  </si>
  <si>
    <t xml:space="preserve">webapp/src/experience/characters/names.js</t>
  </si>
  <si>
    <t xml:space="preserve">0a375a53e1ac610f9f00e736b444525f28b4bbad15265d4569385b66e4c71bb4</t>
  </si>
  <si>
    <t xml:space="preserve">webapp/src/experience/characters/roles.js</t>
  </si>
  <si>
    <t xml:space="preserve">313b803e99c36e415aff68c3f5be5aefd4fe7853d850a80329d231d500428598</t>
  </si>
  <si>
    <t xml:space="preserve">webapp/src/experience/characters/visuals.js</t>
  </si>
  <si>
    <t xml:space="preserve">0790f1c93f2019b9bb4f821edb59cc022efa2332c827bdb9c9d1763de9b41021</t>
  </si>
  <si>
    <t xml:space="preserve">webapp/src/features/ghostorder/dialogueEngine.js</t>
  </si>
  <si>
    <t xml:space="preserve">adc8fa3c4bccfe2c948216fc415bf4dff980cc42f6d671e8ce7633e51b57dc37</t>
  </si>
  <si>
    <t xml:space="preserve">webapp/src/features/shopping/conversationKeys.js</t>
  </si>
  <si>
    <t xml:space="preserve">7b0a6b128ee2c274ceaad55d3a76836447ba3a773977933241b60e186a1713b9</t>
  </si>
  <si>
    <t xml:space="preserve">webapp/src/features/shopping/dialogueEngine.js</t>
  </si>
  <si>
    <t xml:space="preserve">f8f2eaaf40c129553fb776ffe090e7b530d8bd83e9bf14a41c4a798f404e4091</t>
  </si>
  <si>
    <t xml:space="preserve">webapp/src/features/shopping/sellerTone.js</t>
  </si>
  <si>
    <t xml:space="preserve">c02dcb0da470eb0b213f9c724ee6071d0d5101712b153f400cc802157eb91982</t>
  </si>
  <si>
    <t xml:space="preserve">webapp/src/features/shopping/validateDialogueTree.js</t>
  </si>
  <si>
    <t xml:space="preserve">a079493af2bed74f65997f58bfa1dc8ce754d5e891d56ad0d9320a8eb42b21b8</t>
  </si>
  <si>
    <t xml:space="preserve">webapp/src/lib/RequireLanguage.jsx</t>
  </si>
  <si>
    <t xml:space="preserve">67a8ad9889725521a99e7df1681a9420369b3f78daf5b53ac690123df3d53902</t>
  </si>
  <si>
    <t xml:space="preserve">webapp/src/lib/RequireLocationProfile.jsx</t>
  </si>
  <si>
    <t xml:space="preserve">08ac1ed2de6b744de0027a561be71d02e69f61f621e72f35da84acbf1bfa7f58</t>
  </si>
  <si>
    <t xml:space="preserve">webapp/src/lib/ar/cameraSource.js</t>
  </si>
  <si>
    <r>
      <rPr>
        <sz val="10"/>
        <color rgb="FF000000"/>
        <rFont val="Arial"/>
        <family val="0"/>
        <charset val="1"/>
      </rPr>
      <t xml:space="preserve">AR </t>
    </r>
    <r>
      <rPr>
        <sz val="10"/>
        <color rgb="FF000000"/>
        <rFont val="Noto Sans CJK SC"/>
        <family val="2"/>
      </rPr>
      <t xml:space="preserve">影像辨識與相機來源</t>
    </r>
  </si>
  <si>
    <t xml:space="preserve">1875e31c4f06856a99975b522a624a5f6d9ea20d10c80a56cdc2d17e2f064efd</t>
  </si>
  <si>
    <t xml:space="preserve">webapp/src/lib/ar/imageRecognition.js</t>
  </si>
  <si>
    <t xml:space="preserve">ad757b5515b0bd16764bc43a85cd76f7b8ecac1508164d360aac80d2c3d6817d</t>
  </si>
  <si>
    <t xml:space="preserve">webapp/src/lib/ar/imageTargetFrame.js</t>
  </si>
  <si>
    <t xml:space="preserve">56783dc536b6f5ae2d5bf61238d589d782b6d0c98624b07c0997dc6d07fd89a4</t>
  </si>
  <si>
    <t xml:space="preserve">webapp/src/lib/ar/scanDiagnostics.js</t>
  </si>
  <si>
    <t xml:space="preserve">3462a7c2dbdbd22ae97eae303360ab87f2ff593c32418a9f9dc0ff121f219f30</t>
  </si>
  <si>
    <t xml:space="preserve">webapp/src/lib/ar/scenarioTargetMap.js</t>
  </si>
  <si>
    <t xml:space="preserve">0a4e99c7fe78623288ebaa8d33f0f4247c54f86ea168206ac4278aee1396ee0c</t>
  </si>
  <si>
    <t xml:space="preserve">webapp/src/lib/ar/targetLock.js</t>
  </si>
  <si>
    <t xml:space="preserve">4575a736f6372c6bbae3c12ab1cb4fce1a73df43fd0e9cf2b3cc9e9878ee945c</t>
  </si>
  <si>
    <t xml:space="preserve">webapp/src/lib/arInteraction/debug/gestureDebugFlag.js</t>
  </si>
  <si>
    <t xml:space="preserve">180b5605362acd0fad5118402cf37df887f5103761b96fd8c34524e54a33577b</t>
  </si>
  <si>
    <t xml:space="preserve">webapp/src/lib/arInteraction/debug/keyboardGestureAdapter.js</t>
  </si>
  <si>
    <t xml:space="preserve">da674871d2187afe49a7e96623ecaf767368e9aa71ad641dbfa74195d7353609</t>
  </si>
  <si>
    <t xml:space="preserve">webapp/src/lib/arInteraction/gestureBridge.js</t>
  </si>
  <si>
    <t xml:space="preserve">f616b313515bd0139d67272352a22793a3399877f7ae9fcd38080eb168f0d289</t>
  </si>
  <si>
    <t xml:space="preserve">webapp/src/lib/arInteraction/inactivityHint.js</t>
  </si>
  <si>
    <t xml:space="preserve">f5c61013e9c0ca1f88369bee079d88c3bc5a89ce5e4f5ef014b3649f8200a995</t>
  </si>
  <si>
    <t xml:space="preserve">webapp/src/lib/arInteraction/index.js</t>
  </si>
  <si>
    <t xml:space="preserve">8ca36cc3e82590eface75eca8afda86c8cd91b2bb1ab6e5feb0f2b52c360edba</t>
  </si>
  <si>
    <t xml:space="preserve">webapp/src/lib/arInteraction/interactionContract.js</t>
  </si>
  <si>
    <t xml:space="preserve">a023d8d9e25dd3238b437c085e3ab51397e2bbd9131c89b92abbb2bd23328153</t>
  </si>
  <si>
    <t xml:space="preserve">webapp/src/lib/arInteraction/native/installJorjinGestureBridge.js</t>
  </si>
  <si>
    <t xml:space="preserve">77a4084a4ebf967db55bf1de489a223b732ffc2498517708f176bcfaca26c12a</t>
  </si>
  <si>
    <t xml:space="preserve">webapp/src/lib/arInteraction/native/jorjinGestureAdapter.js</t>
  </si>
  <si>
    <t xml:space="preserve">7757f9046663526371643443d8610b6235ffd9d4195258b1f30e890fa76bd313</t>
  </si>
  <si>
    <t xml:space="preserve">webapp/src/lib/arInteraction/useARInteraction.js</t>
  </si>
  <si>
    <t xml:space="preserve">bfe461c1951fc2b0c216be0fc7d91ece5fc22c8ac3243cefe65af02fde4a198d</t>
  </si>
  <si>
    <t xml:space="preserve">webapp/src/lib/chatTime.js</t>
  </si>
  <si>
    <t xml:space="preserve">f918504d2baa8949c956fc91d3583a4713124a28dd56f500d446c7eac0ee833c</t>
  </si>
  <si>
    <t xml:space="preserve">webapp/src/lib/chatTime.test.js</t>
  </si>
  <si>
    <t xml:space="preserve">b2ed382c6b29d07a868a03ac8d560cbe72cea5a1400e0ebf5582636664bc1040</t>
  </si>
  <si>
    <t xml:space="preserve">webapp/src/lib/constants.js</t>
  </si>
  <si>
    <t xml:space="preserve">5b7c71370084ea643c2071e6dcc3709c07229fd12bcbf1c164416e7fc510f586</t>
  </si>
  <si>
    <t xml:space="preserve">webapp/src/lib/dateTimeService.js</t>
  </si>
  <si>
    <t xml:space="preserve">c3a7f3191044cd37e38c2d240acc479d441576978fae4cec43e1aa742d5517ff</t>
  </si>
  <si>
    <t xml:space="preserve">webapp/src/lib/dialogueTree.js</t>
  </si>
  <si>
    <t xml:space="preserve">76ff4b3cd79c2b059bad76467db73fa1e5130fc7295c9e6388bfdbbd793edd5a</t>
  </si>
  <si>
    <t xml:space="preserve">webapp/src/lib/enterScenario.js</t>
  </si>
  <si>
    <t xml:space="preserve">3653630ce8cf064e32318a8eb903cd29f409f928eab5a7ba9d8826fbdbfe9507</t>
  </si>
  <si>
    <t xml:space="preserve">webapp/src/lib/feedback.js</t>
  </si>
  <si>
    <t xml:space="preserve">b784613e9648828900b05cc7217c817fed4165d2e828bfcc4652f5743e05e3b3</t>
  </si>
  <si>
    <t xml:space="preserve">webapp/src/lib/lang.js</t>
  </si>
  <si>
    <t xml:space="preserve">e5998fa0783333c4b31ed0d22f830278641df30f8ac3ed0f596224eaeb90b4a8</t>
  </si>
  <si>
    <t xml:space="preserve">webapp/src/lib/location/LocationManager.js</t>
  </si>
  <si>
    <t xml:space="preserve">fa00c8e6ede673995197c8742c72b24b58112bc5778a0f31c18fa64beb78e73c</t>
  </si>
  <si>
    <t xml:space="preserve">webapp/src/lib/location/LocationProfileStore.js</t>
  </si>
  <si>
    <t xml:space="preserve">b887ee77bcb0c3da150364dd3720588db1910cf92fffd7b628ba302619ea1e53</t>
  </si>
  <si>
    <t xml:space="preserve">webapp/src/lib/location/PoliceOrganizationResolver.js</t>
  </si>
  <si>
    <t xml:space="preserve">13d09fc5d7ff75e4832ccf93d60431167076d4d84297c7396b655d76425c3749</t>
  </si>
  <si>
    <t xml:space="preserve">webapp/src/lib/location/RegionAgencyResolver.js</t>
  </si>
  <si>
    <t xml:space="preserve">cc846ecfacb859f4d5dfa49c714121c26bd3bd4c03dcdc78ae0c0a5178c37a86</t>
  </si>
  <si>
    <t xml:space="preserve">webapp/src/lib/location/localizedLocationName.js</t>
  </si>
  <si>
    <t xml:space="preserve">dfc6f09ff4dafdfce5414d0e8e7135fddf545f41e578a4b62c405235de27042d</t>
  </si>
  <si>
    <t xml:space="preserve">webapp/src/lib/location/locationSystem.test.js</t>
  </si>
  <si>
    <t xml:space="preserve">fdb801bd83870e4ad3230c113446d7ebd311a58e3e31fb06087314b735a3bb28</t>
  </si>
  <si>
    <t xml:space="preserve">webapp/src/lib/location/policeOrganization.test.js</t>
  </si>
  <si>
    <t xml:space="preserve">2a86c23f2f8109ad5a73ef28e33ab8c0ed2f449c9cfdee374061d5fb9ac6986c</t>
  </si>
  <si>
    <t xml:space="preserve">webapp/src/lib/mediaAutoplay.js</t>
  </si>
  <si>
    <t xml:space="preserve">1ebf6356432c47cf27542a114858a3294083fec4398fd3df6350bd8c8effdac8</t>
  </si>
  <si>
    <t xml:space="preserve">webapp/src/lib/ota/otaControls.js</t>
  </si>
  <si>
    <t xml:space="preserve">f6d188210140b5b01d64c76ab8540ed096fdb10d8fb1512ac978d9cd068094ab</t>
  </si>
  <si>
    <t xml:space="preserve">webapp/src/lib/ota/otaState.js</t>
  </si>
  <si>
    <t xml:space="preserve">387405ac5855216c5fd26c06173e4d3733719024cabf749a5707702666ee23af</t>
  </si>
  <si>
    <t xml:space="preserve">webapp/src/lib/releaseInfo.js</t>
  </si>
  <si>
    <t xml:space="preserve">281254e92e2215f7f18441afc246bcdf75da5ba6e560a4d68b73e5557db4e0fe</t>
  </si>
  <si>
    <t xml:space="preserve">webapp/src/lib/scenario01Characters.js</t>
  </si>
  <si>
    <t xml:space="preserve">d22399bcdc19cae1517861bb5c2125fa7b4c62371a67c73107c4fffe8473e1c6</t>
  </si>
  <si>
    <t xml:space="preserve">webapp/src/lib/scenario01Store.js</t>
  </si>
  <si>
    <t xml:space="preserve">11dc44b7dd88f6d6ceb734d8d0c98499e0401271deb9799c2275ab665f126ed3</t>
  </si>
  <si>
    <t xml:space="preserve">webapp/src/lib/scenario02Store.js</t>
  </si>
  <si>
    <t xml:space="preserve">388f8728fc103bb3d0ca49cfed333d47a75c67fc28c6f574f29f139643dfd2de</t>
  </si>
  <si>
    <t xml:space="preserve">webapp/src/lib/scenario03Feedback.js</t>
  </si>
  <si>
    <t xml:space="preserve">ce732964fdb224114311a6f5b54e48a0c90e72eb14a5012f5114681168b342bd</t>
  </si>
  <si>
    <t xml:space="preserve">webapp/src/lib/scenario03Store.js</t>
  </si>
  <si>
    <t xml:space="preserve">327d75e741c959b02e2b67b033dcf808d51b6f5daa33033d1b1a6ea6fb869f3d</t>
  </si>
  <si>
    <t xml:space="preserve">webapp/src/lib/scenario05Store.js</t>
  </si>
  <si>
    <t xml:space="preserve">70d718d3a8b8ace5f387ae27b64c13bc8a85549050354e153a5a8ae675fa909e</t>
  </si>
  <si>
    <t xml:space="preserve">webapp/src/lib/scenarioEntryHeroes.js</t>
  </si>
  <si>
    <t xml:space="preserve">730c29ea676e00afe27933b1e78748932b78098eb04bac9892cef62a05161dc7</t>
  </si>
  <si>
    <t xml:space="preserve">webapp/src/lib/session/ScenarioSessionFactory.js</t>
  </si>
  <si>
    <t xml:space="preserve">fc84e7cb3f61969475c96a4f6f41b03cb349115f68b5eadce1fd04008683e08b</t>
  </si>
  <si>
    <t xml:space="preserve">webapp/src/lib/shoppingStore.js</t>
  </si>
  <si>
    <t xml:space="preserve">4eb77c64a6673a16cb26a4b43c2870c8838a4078c4fea4c15a6d38509103208c</t>
  </si>
  <si>
    <t xml:space="preserve">webapp/src/lib/typedMessages.js</t>
  </si>
  <si>
    <t xml:space="preserve">0166547bc38bb3bc013616b30b60d20245a861ab1766cd2e535bf3bc3b6e9a74</t>
  </si>
  <si>
    <t xml:space="preserve">webapp/src/lib/useAutoMediaPreview.js</t>
  </si>
  <si>
    <t xml:space="preserve">005b1d9c0e2c06c0c1abd40b488774a4c814aea5bd061ef052b1bb48f77472cb</t>
  </si>
  <si>
    <t xml:space="preserve">webapp/src/lib/useCountUp.js</t>
  </si>
  <si>
    <t xml:space="preserve">5d3bf04d61933954368c64269c4d5973d2665e9f37d26f710ba84f2fc0ea1758</t>
  </si>
  <si>
    <t xml:space="preserve">webapp/src/lib/useToast.js</t>
  </si>
  <si>
    <t xml:space="preserve">c628256cb4c064539a90e3ccbb5121de4f9f3009ba714ab6b70c86915c646c71</t>
  </si>
  <si>
    <t xml:space="preserve">webapp/src/lib/videoProgress.js</t>
  </si>
  <si>
    <t xml:space="preserve">034b72fb9a0c5aa34c97d6a5072d8568a1d509ef92b6fbaba3a42f511e9f3fd7</t>
  </si>
  <si>
    <t xml:space="preserve">webapp/src/main.jsx</t>
  </si>
  <si>
    <t xml:space="preserve">aeea1b314f2fc7081c489e3d01f240a0d86e733cc2974128687cd843b4e813c4</t>
  </si>
  <si>
    <t xml:space="preserve">webapp/src/pages/LanguageSelect.jsx</t>
  </si>
  <si>
    <t xml:space="preserve">e7e81ef0320a9cdb654de136089a380d04254a514d8d4b9889ba40686e1bcf9f</t>
  </si>
  <si>
    <t xml:space="preserve">webapp/src/pages/ScenarioMenu.jsx</t>
  </si>
  <si>
    <t xml:space="preserve">055511ac3c04b9309ed97481a1985f4400523d801dff5a2a6814e2a6987c2aa0</t>
  </si>
  <si>
    <t xml:space="preserve">webapp/src/pages/arScan/ArScanDiagnosticsOverlay.jsx</t>
  </si>
  <si>
    <t xml:space="preserve">74a3f59ec9e43e34b483ff90e4944d00ee3d645ff1f2f784b812deefbf3ba2fe</t>
  </si>
  <si>
    <t xml:space="preserve">webapp/src/pages/arScan/ArScanHome.jsx</t>
  </si>
  <si>
    <t xml:space="preserve">db1d63fe4d7a153c7d64e3d584e214caae94f3646c272dc12d8db3f850a3babf</t>
  </si>
  <si>
    <t xml:space="preserve">webapp/src/pages/arScan/heroLayout.js</t>
  </si>
  <si>
    <t xml:space="preserve">e85eb3bd108489d32c25eca85a660957c5a94d1d5953262442f1b67300bc1c7c</t>
  </si>
  <si>
    <t xml:space="preserve">webapp/src/pages/arScan/i18n.js</t>
  </si>
  <si>
    <t xml:space="preserve">e589b89de35be420195c5f260d87ad68419648483e2c604876e45a38edc9b25b</t>
  </si>
  <si>
    <t xml:space="preserve">webapp/src/pages/entryScreens.css</t>
  </si>
  <si>
    <t xml:space="preserve">d028e83a86389d36ab7dc704aa3f85907fc5a690700117f9011b78995b697c31</t>
  </si>
  <si>
    <t xml:space="preserve">webapp/src/pages/gestureTutorial/GestureTutorial.jsx</t>
  </si>
  <si>
    <t xml:space="preserve">06ea70168233626b7f52a512e8bef8ca1eb70586b508436f4dd47e0f53cc8b39</t>
  </si>
  <si>
    <t xml:space="preserve">webapp/src/pages/gestureTutorial/i18n.js</t>
  </si>
  <si>
    <t xml:space="preserve">3586d71c392632d17efce0e30c3c16311bde13654bc9214eb86673720d857324</t>
  </si>
  <si>
    <t xml:space="preserve">webapp/src/pages/gestureTutorial/tutorialStateMachine.js</t>
  </si>
  <si>
    <t xml:space="preserve">0008912d9543da5692ef63a0abc6d4256543f7515f6891bd76a79b81edd6b6e0</t>
  </si>
  <si>
    <t xml:space="preserve">webapp/src/pages/languageSelectI18n.js</t>
  </si>
  <si>
    <t xml:space="preserve">2dc5704b6355f901cb207c201f4353eb4915b7b41e732a9c11b48fb1f7895a79</t>
  </si>
  <si>
    <t xml:space="preserve">webapp/src/pages/opening/OpeningHome.jsx</t>
  </si>
  <si>
    <t xml:space="preserve">7a614155a86d92c90b984213516f08f4bc451185054565ce54c9e767b2bf7537</t>
  </si>
  <si>
    <t xml:space="preserve">webapp/src/pages/opening/OpeningSequence.css</t>
  </si>
  <si>
    <t xml:space="preserve">ab7d1d415e999d3c1669253327ef58c1b5985643fb049d9ed83353405a54953b</t>
  </si>
  <si>
    <t xml:space="preserve">webapp/src/pages/opening/OpeningSequence.jsx</t>
  </si>
  <si>
    <t xml:space="preserve">cfcb0c80aadb2f0822f71b304b32da5359c85f4c7e22a2ec4b0c46d977b03eaa</t>
  </si>
  <si>
    <t xml:space="preserve">webapp/src/pages/opening/openingStaffExit.js</t>
  </si>
  <si>
    <t xml:space="preserve">251a7effae2b7ef1adf993bf22ea74f4976b24f7204b64bee1967e2ec80cd657</t>
  </si>
  <si>
    <t xml:space="preserve">webapp/src/pages/scenario01/Analysis.jsx</t>
  </si>
  <si>
    <t xml:space="preserve">53f28600350c00ba32f9ca60807f6141e45ebb312db506f1464ace8bcd95bd41</t>
  </si>
  <si>
    <t xml:space="preserve">webapp/src/pages/scenario01/Briefing.jsx</t>
  </si>
  <si>
    <t xml:space="preserve">b97954a11e5b231ebd3e3b6533b10faa39650bf41b9530bf8df419aa718f8bf9</t>
  </si>
  <si>
    <t xml:space="preserve">webapp/src/pages/scenario01/Feed.jsx</t>
  </si>
  <si>
    <t xml:space="preserve">8ecfbc320c81ceabd940e1359231faf363b65227b2d04cc78f1c532ab4819274</t>
  </si>
  <si>
    <t xml:space="preserve">webapp/src/pages/scenario01/LineTeacher.jsx</t>
  </si>
  <si>
    <t xml:space="preserve">0051e4315f2226d51ae98dd21c64b7dfda1e82a4137807e966e8c36b8b6a5a8e</t>
  </si>
  <si>
    <t xml:space="preserve">webapp/src/pages/scenario01/PlatformRegister.jsx</t>
  </si>
  <si>
    <t xml:space="preserve">4a550fd4054df3f2cd2814cbe3679140e5a46c732e614830524781c074322b78</t>
  </si>
  <si>
    <t xml:space="preserve">webapp/src/pages/scenario01/Profit.jsx</t>
  </si>
  <si>
    <t xml:space="preserve">3ff15fde6f7727f0c04a677b96dc77f119cf083ad1ee1a403e25512fa2bc7354</t>
  </si>
  <si>
    <t xml:space="preserve">webapp/src/pages/scenario01/Quiz.jsx</t>
  </si>
  <si>
    <t xml:space="preserve">35a9da4c1ba139abd18b6f44eda82bd2a0f773c25c599ad2e9d292a5d58f61f2</t>
  </si>
  <si>
    <t xml:space="preserve">webapp/src/pages/scenario01/ScammedResult.jsx</t>
  </si>
  <si>
    <t xml:space="preserve">97ea083ca9df73177a0a8b44b504f93b9c72ea83240c05eb60e2da549f0d5b15</t>
  </si>
  <si>
    <t xml:space="preserve">webapp/src/pages/scenario01/StoppedResult.jsx</t>
  </si>
  <si>
    <t xml:space="preserve">1af3f84b70fb1b238f853fd61f89d0c6a87b104abc01ee58b0c225cf3432ba9d</t>
  </si>
  <si>
    <t xml:space="preserve">webapp/src/pages/scenario01/VideoTeacher.jsx</t>
  </si>
  <si>
    <t xml:space="preserve">48d9df7338a296e8f39a13445aa7455bf7e1d9fedb60718771d11c2930bd614f</t>
  </si>
  <si>
    <t xml:space="preserve">webapp/src/pages/scenario01/VipGroup.jsx</t>
  </si>
  <si>
    <t xml:space="preserve">31231cfe4a840498b584b391e52fd60f44a9c30f3ea5f5e0f5f5b37776a7036d</t>
  </si>
  <si>
    <t xml:space="preserve">webapp/src/pages/scenario01/WithdrawFail.jsx</t>
  </si>
  <si>
    <t xml:space="preserve">061d44e5facc732ba6dec450199598588a503a9978355235b36f3ed5accc4f7c</t>
  </si>
  <si>
    <t xml:space="preserve">webapp/src/pages/scenario01/avatars.js</t>
  </si>
  <si>
    <t xml:space="preserve">e2562805f05a2b1d71ec0274d0a3e9d3df1d308d79fab1088927c3373b48c616</t>
  </si>
  <si>
    <t xml:space="preserve">webapp/src/pages/scenario01/i18n.js</t>
  </si>
  <si>
    <t xml:space="preserve">268429919df722c933e42f47a2ba7fda39e28009cb2dfb1b040c9baa6b335109</t>
  </si>
  <si>
    <t xml:space="preserve">webapp/src/pages/scenario01/i18nEn.js</t>
  </si>
  <si>
    <t xml:space="preserve">f184b584d886d0ccf2fa1174d9c54ac18dd254bcf7c0538403e24c262a29c220</t>
  </si>
  <si>
    <t xml:space="preserve">webapp/src/pages/scenario01/i18nJp.js</t>
  </si>
  <si>
    <t xml:space="preserve">907bed5af6d2a0c84290c5657c9c4808822dde2dfaa8c0f523462116d0d33103</t>
  </si>
  <si>
    <t xml:space="preserve">webapp/src/pages/scenario01/teacherVideo.js</t>
  </si>
  <si>
    <t xml:space="preserve">3c189b211ae0b013a0c536b1040c59ad04ed61ffe585afba55997f7486f1afdc</t>
  </si>
  <si>
    <t xml:space="preserve">webapp/src/pages/scenario02/AppLanding.jsx</t>
  </si>
  <si>
    <t xml:space="preserve">c0ae752dc54d57b2bf75f66537802068d5ce0e0aca86260e5e3e4819fb8fb371</t>
  </si>
  <si>
    <t xml:space="preserve">webapp/src/pages/scenario02/Briefing.jsx</t>
  </si>
  <si>
    <t xml:space="preserve">90c2c249d4803a5c3e9f286bc54ce35db6e2e9d61230b64e967dd147fca53b02</t>
  </si>
  <si>
    <t xml:space="preserve">webapp/src/pages/scenario02/CoinWinnerScreens.jsx</t>
  </si>
  <si>
    <t xml:space="preserve">67feae83707b69fbf9208bbbfd72ec8233f445bfb78025a12a100bdf5302150e</t>
  </si>
  <si>
    <t xml:space="preserve">webapp/src/pages/scenario02/DatingBrowse.jsx</t>
  </si>
  <si>
    <t xml:space="preserve">0f9a730938d431ab473d22ea67b4576d4084ca01ca0bdece6ee364cc646eb3ee</t>
  </si>
  <si>
    <t xml:space="preserve">webapp/src/pages/scenario02/DatingChat.jsx</t>
  </si>
  <si>
    <t xml:space="preserve">9d04e7f971689ef7df35572c35f9fd8786f35f29ffda1d2a297579d9add69016</t>
  </si>
  <si>
    <t xml:space="preserve">webapp/src/pages/scenario02/DatingMatch.jsx</t>
  </si>
  <si>
    <t xml:space="preserve">393584cbde359741cf6389e6b2eed16ec0209e615a5ae2a171930909eea1306e</t>
  </si>
  <si>
    <t xml:space="preserve">webapp/src/pages/scenario02/DepositWarning.jsx</t>
  </si>
  <si>
    <t xml:space="preserve">10f9e710617b5c5a309473cfd8d57f2805c820c07cf3a689d2ef9e0ab95a83a9</t>
  </si>
  <si>
    <t xml:space="preserve">webapp/src/pages/scenario02/GuaranteePage.jsx</t>
  </si>
  <si>
    <t xml:space="preserve">165e48c4a16b0d8c5fc1347a6046d3e95f0fa8049584b2850f594dfd38cedfdf</t>
  </si>
  <si>
    <t xml:space="preserve">webapp/src/pages/scenario02/PhoneDesktop.jsx</t>
  </si>
  <si>
    <t xml:space="preserve">3f5f152ac51785e1adaa998aa3f9e67707f909d9c23733963a8682d6f8dfda5a</t>
  </si>
  <si>
    <t xml:space="preserve">webapp/src/pages/scenario02/PrivateChat.css</t>
  </si>
  <si>
    <t xml:space="preserve">f4c109779439603c13a693373686fcbdcaff853c74d7481fb06eeb41ad60e857</t>
  </si>
  <si>
    <t xml:space="preserve">webapp/src/pages/scenario02/PrivateChat.jsx</t>
  </si>
  <si>
    <t xml:space="preserve">3a7e19a065cfd46254afa829a3d483636b5a7bc2c2c2feb54a462744c7c8c12c</t>
  </si>
  <si>
    <t xml:space="preserve">webapp/src/pages/scenario02/Quiz.jsx</t>
  </si>
  <si>
    <t xml:space="preserve">923a97827e5e0754aace14c5412c8b898054267e3aebc9d051fb9a8b52275ea0</t>
  </si>
  <si>
    <t xml:space="preserve">webapp/src/pages/scenario02/RiskAnalysis.jsx</t>
  </si>
  <si>
    <t xml:space="preserve">87b8efd7e099e5fac75daaebdd08374b4274fa2c6f2e695ff4a9215265c85681</t>
  </si>
  <si>
    <t xml:space="preserve">webapp/src/pages/scenario02/ScammedResult.jsx</t>
  </si>
  <si>
    <t xml:space="preserve">736ab78653a9dcc6641d40f7efd0f7b9b0c8e466485a6ea74334b2235fe6e3dd</t>
  </si>
  <si>
    <t xml:space="preserve">webapp/src/pages/scenario02/StoppedResult.jsx</t>
  </si>
  <si>
    <t xml:space="preserve">c6116021b6902612915c86b909a92754df51c835195a1b11d8eeaf74ce0c68d3</t>
  </si>
  <si>
    <t xml:space="preserve">webapp/src/pages/scenario02/TopupWarning.jsx</t>
  </si>
  <si>
    <t xml:space="preserve">c3799d95d0256b8bac8ea4deafcbf89aee18e43efd21276d664ca545a79601a9</t>
  </si>
  <si>
    <t xml:space="preserve">webapp/src/pages/scenario02/coinWinnerAppState.js</t>
  </si>
  <si>
    <t xml:space="preserve">880d3d46c1f7d4951bad9b43cd1632f562268cdadec4a632f5c6012baad329f0</t>
  </si>
  <si>
    <t xml:space="preserve">webapp/src/pages/scenario02/components/Hotline165.jsx</t>
  </si>
  <si>
    <t xml:space="preserve">80044b5fa190888f95ff792b6cecf53a218f99016aecd1692bde783b74544a27</t>
  </si>
  <si>
    <t xml:space="preserve">webapp/src/pages/scenario02/components/RedWarning.jsx</t>
  </si>
  <si>
    <t xml:space="preserve">8efbd46c910237dae04c26053b37fb24d7048004e44e8f749b7780790cf8f6b7</t>
  </si>
  <si>
    <t xml:space="preserve">webapp/src/pages/scenario02/components/SafetyAlert.jsx</t>
  </si>
  <si>
    <t xml:space="preserve">3f24d46547d33d7f6594c438d5595fc43086aa9b327394c7c26d3979e5f19a85</t>
  </si>
  <si>
    <t xml:space="preserve">webapp/src/pages/scenario02/components/WarningMarquee.jsx</t>
  </si>
  <si>
    <t xml:space="preserve">44fbf9f45697616288d76b9a756a6690e6496c7c3a55c9122e03b8096ebcb43a</t>
  </si>
  <si>
    <t xml:space="preserve">webapp/src/pages/scenario02/guesthousePhotos.js</t>
  </si>
  <si>
    <t xml:space="preserve">07d74b25505b25ba25dad79581298579e1b204556787c3e4178faba091d06c65</t>
  </si>
  <si>
    <t xml:space="preserve">webapp/src/pages/scenario02/i18n.js</t>
  </si>
  <si>
    <t xml:space="preserve">32fb2c74cedcff35f5e769fa304de24512288b57544bc80fda11daf510a0edc2</t>
  </si>
  <si>
    <t xml:space="preserve">webapp/src/pages/scenario03/Aftermath.jsx</t>
  </si>
  <si>
    <t xml:space="preserve">82f2ca28c444cc1f50eafa851491c2f488de9914ae8afe69b312beb460e8d83e</t>
  </si>
  <si>
    <t xml:space="preserve">webapp/src/pages/scenario03/Analysis.jsx</t>
  </si>
  <si>
    <t xml:space="preserve">9a93c8bc38f0c34f034797929e16436b7fe3b287f2a59aeb4c93ab5bd4d25c7b</t>
  </si>
  <si>
    <t xml:space="preserve">webapp/src/pages/scenario03/BankSite.jsx</t>
  </si>
  <si>
    <t xml:space="preserve">fe0cbd178f9645ae1029e64dbe29c489b6f0e66c532d02fc11b0cf9369a6d6b0</t>
  </si>
  <si>
    <t xml:space="preserve">webapp/src/pages/scenario03/Briefing.jsx</t>
  </si>
  <si>
    <t xml:space="preserve">987c85933fa9d2a9b81431fa96b06efe613ca943a3b7e077b31865e0364c9142</t>
  </si>
  <si>
    <t xml:space="preserve">webapp/src/pages/scenario03/CallStage1.jsx</t>
  </si>
  <si>
    <t xml:space="preserve">3c74f7d2ed222553a64ac4df34a916760ccd5b7985b6470846fc676fc2ea5bda</t>
  </si>
  <si>
    <t xml:space="preserve">webapp/src/pages/scenario03/CaseSite.jsx</t>
  </si>
  <si>
    <t xml:space="preserve">db7a4d146a9fb80786a66c211846222726d6b648d8829184cf69256000f7cee9</t>
  </si>
  <si>
    <t xml:space="preserve">webapp/src/pages/scenario03/Ending.jsx</t>
  </si>
  <si>
    <t xml:space="preserve">41c76042b5c43942ab94199f6e9ac7ea0d5363304c3d279d9a319c46e17562a5</t>
  </si>
  <si>
    <t xml:space="preserve">webapp/src/pages/scenario03/FinalDecision.jsx</t>
  </si>
  <si>
    <t xml:space="preserve">748f7e9b3f63dbe8668505ea00a61954c707559d9fbebfddf1c9a3a5506abbf6</t>
  </si>
  <si>
    <t xml:space="preserve">webapp/src/pages/scenario03/IncomingCall.jsx</t>
  </si>
  <si>
    <t xml:space="preserve">f049e8fb95f55c406a9ea76a38ad0f3c215973828be16601fa022e5f58164435</t>
  </si>
  <si>
    <t xml:space="preserve">webapp/src/pages/scenario03/LineAdd.jsx</t>
  </si>
  <si>
    <t xml:space="preserve">3007937313cab09a8e5b126f63ac520c54864c91a9f4389a4fd299f7f1d6887d</t>
  </si>
  <si>
    <t xml:space="preserve">webapp/src/pages/scenario03/LineCustody.jsx</t>
  </si>
  <si>
    <t xml:space="preserve">c038d07d9224606f39205a4c09803f85e7a031b8234739c6c862b68872dd74ec</t>
  </si>
  <si>
    <t xml:space="preserve">webapp/src/pages/scenario03/LineIntro.jsx</t>
  </si>
  <si>
    <t xml:space="preserve">46d1d0e3bbfeca10924502946dfe05dabab87f6728363a5d78e36de347b21ef6</t>
  </si>
  <si>
    <t xml:space="preserve">webapp/src/pages/scenario03/PhoneHome.jsx</t>
  </si>
  <si>
    <t xml:space="preserve">e7a6cbde8cd406defe6c34c2d6f41d5ad0dd2a3880f93f4da679f629820b79d5</t>
  </si>
  <si>
    <t xml:space="preserve">webapp/src/pages/scenario03/PoliceCallback.jsx</t>
  </si>
  <si>
    <t xml:space="preserve">1e5ddd8bafbaf0656382bc7f104e6d1e4de91ad5ecf1953e268f5a6712955b73</t>
  </si>
  <si>
    <t xml:space="preserve">webapp/src/pages/scenario03/ProsecutorCall.jsx</t>
  </si>
  <si>
    <t xml:space="preserve">4b89442757dffa770f3c795c867c4e7bc1edf9f10869bf2a6b9cd0293a0d3305</t>
  </si>
  <si>
    <t xml:space="preserve">webapp/src/pages/scenario03/Quiz.jsx</t>
  </si>
  <si>
    <t xml:space="preserve">2a60cf5b6b7b06d77a812b1d6b85bd874a5bc9fed5abb67cdf3decce4b4b52d2</t>
  </si>
  <si>
    <t xml:space="preserve">webapp/src/pages/scenario03/components/ChoicePanel.jsx</t>
  </si>
  <si>
    <t xml:space="preserve">d7af414efa7e97139e79bb7cd4690f1622c917db873922982803364cbd5effb3</t>
  </si>
  <si>
    <t xml:space="preserve">webapp/src/pages/scenario03/components/Countdown.jsx</t>
  </si>
  <si>
    <t xml:space="preserve">30482fb2d14c107ad637e8e2da475d24b1f6d8a0039015c7ed9e4a17a4dba11d</t>
  </si>
  <si>
    <t xml:space="preserve">webapp/src/pages/scenario03/components/DialogueLayer.jsx</t>
  </si>
  <si>
    <t xml:space="preserve">c51e1408f45bcada395daec2b1e55dfb8c49ae44bff8195c5ed5eaac5acb4748</t>
  </si>
  <si>
    <t xml:space="preserve">webapp/src/pages/scenario03/components/HeadsUpNotification.jsx</t>
  </si>
  <si>
    <t xml:space="preserve">c8fe5fad0280402ba8e9cd3f9743a1398366eb5401a6027009b1772e2699e02c</t>
  </si>
  <si>
    <t xml:space="preserve">webapp/src/pages/scenario03/components/OngoingCallIndicator.jsx</t>
  </si>
  <si>
    <t xml:space="preserve">aa021a5f318ec46d173b19e4e497a9dd0431e3482106b1b5d14171a4cd6ac100</t>
  </si>
  <si>
    <t xml:space="preserve">webapp/src/pages/scenario03/components/PhoneNumberDisplay.jsx</t>
  </si>
  <si>
    <t xml:space="preserve">a9fe078449e69042be46b9b5a93188e857bdaae99d0a36b3aae32fccf2b6ddd7</t>
  </si>
  <si>
    <t xml:space="preserve">webapp/src/pages/scenario03/components/PhoneShell.css</t>
  </si>
  <si>
    <t xml:space="preserve">4114dfabae17c188633f1710943a252d1c37025bde37b6aec16e40751146717b</t>
  </si>
  <si>
    <t xml:space="preserve">webapp/src/pages/scenario03/components/PhoneShell.jsx</t>
  </si>
  <si>
    <t xml:space="preserve">f206190560a1b04d75a45970be1c51238d6edb23aa05119b015cb9ce4574f30e</t>
  </si>
  <si>
    <t xml:space="preserve">webapp/src/pages/scenario03/components/PoliceFrame.jsx</t>
  </si>
  <si>
    <t xml:space="preserve">47234709ae26cb4c184811616ea594a052b53d22cc360e985bfeebbc4a137464</t>
  </si>
  <si>
    <t xml:space="preserve">webapp/src/pages/scenario03/components/ScriptedLineConversation.jsx</t>
  </si>
  <si>
    <t xml:space="preserve">3fc98dc352edc7af96bc43a93fe307d9fc1cfd27cf70a3569dfcc6fa444f6fbd</t>
  </si>
  <si>
    <t xml:space="preserve">webapp/src/pages/scenario03/components/StressText.jsx</t>
  </si>
  <si>
    <t xml:space="preserve">9f7e0aa3f1a9c46de301efca70d4985bab54051e9d5585f641ebeb4d109d6fc9</t>
  </si>
  <si>
    <t xml:space="preserve">webapp/src/pages/scenario03/components/Subtitle.jsx</t>
  </si>
  <si>
    <t xml:space="preserve">b9fefce2b762b687230f8cb2c2c372067da04eb2bd47966c4a576815a670b5af</t>
  </si>
  <si>
    <t xml:space="preserve">webapp/src/pages/scenario03/i18n.js</t>
  </si>
  <si>
    <t xml:space="preserve">0339087a8a12417bc909209e291969d55b427015f02fcd77b2802a292aa11bbb</t>
  </si>
  <si>
    <t xml:space="preserve">webapp/src/pages/scenario03/useScenarioAudio.js</t>
  </si>
  <si>
    <t xml:space="preserve">5ef80c3a439618d064b47a1f15e6de9269370157be75a204d2c826431762bdfe</t>
  </si>
  <si>
    <t xml:space="preserve">webapp/src/pages/scenario03/useScriptPlayer.js</t>
  </si>
  <si>
    <t xml:space="preserve">75145f7f32ad3084a379711c269906fee2ea8a2b4b082b844c94a8d56a9f68ad</t>
  </si>
  <si>
    <t xml:space="preserve">webapp/src/pages/scenario04/Briefing.jsx</t>
  </si>
  <si>
    <t xml:space="preserve">d04ff52c095441f10ca774a126e985ef1d1292c0948236273bdd05faa47d877e</t>
  </si>
  <si>
    <t xml:space="preserve">webapp/src/pages/scenario04/DisputeChat.jsx</t>
  </si>
  <si>
    <t xml:space="preserve">daaa170720814a6e3568c8e120e6c8401cbfbaa8a7566c9b3cb3b69ac0f0dc00</t>
  </si>
  <si>
    <t xml:space="preserve">webapp/src/pages/scenario04/Ending.jsx</t>
  </si>
  <si>
    <t xml:space="preserve">bf1a2c55ea4b2461ae0ae1ff073d381a5539941cfac11259c87298e5d7b11bd2</t>
  </si>
  <si>
    <t xml:space="preserve">webapp/src/pages/scenario04/OutcomeResult.jsx</t>
  </si>
  <si>
    <t xml:space="preserve">f694e9f4ddafd34a7a0fb9140e70fd928b73d984dbd262b63e715c9a542df305</t>
  </si>
  <si>
    <t xml:space="preserve">webapp/src/pages/scenario04/PlatformSupportChat.jsx</t>
  </si>
  <si>
    <t xml:space="preserve">2fdb52c23d4167ca0ca2bad6e2d8116226d36d78937768982c73c15015f00e8f</t>
  </si>
  <si>
    <t xml:space="preserve">webapp/src/pages/scenario04/Quiz.jsx</t>
  </si>
  <si>
    <t xml:space="preserve">d9748ec3a8eea6c451c47a4adee59759f060ac83972e4218dc69f90a36991b0f</t>
  </si>
  <si>
    <t xml:space="preserve">webapp/src/pages/scenario04/RefundCenter.jsx</t>
  </si>
  <si>
    <t xml:space="preserve">8710fd6dc259ccbda99eacbb08805ab58382ef6cd6e20649f28e29b854614c6d</t>
  </si>
  <si>
    <t xml:space="preserve">webapp/src/pages/scenario04/RefundDelayChat.jsx</t>
  </si>
  <si>
    <t xml:space="preserve">25c32c9d82107b37263e6c400b8fc47025e768a4234fb64ee2274bd2e0dd221f</t>
  </si>
  <si>
    <t xml:space="preserve">webapp/src/pages/scenario04/ReturnAckChat.jsx</t>
  </si>
  <si>
    <t xml:space="preserve">75c87282f2b02f0492bba8ed093a70898d5d2af4b624562ba70b926c67364d8f</t>
  </si>
  <si>
    <t xml:space="preserve">webapp/src/pages/scenario04/ReturnLogistics.jsx</t>
  </si>
  <si>
    <t xml:space="preserve">3d9a72daaa20adf346b2273aa049701a2e818b708a4c9d82adfeb0b5cb07b9d2</t>
  </si>
  <si>
    <t xml:space="preserve">webapp/src/pages/scenario04/ReturnRequest.jsx</t>
  </si>
  <si>
    <t xml:space="preserve">b10ac62bffdda2158b23f57dda61bf667fe05934adc3255e6fd3b84a2b43da13</t>
  </si>
  <si>
    <t xml:space="preserve">webapp/src/pages/scenario04/ReturnShipping.jsx</t>
  </si>
  <si>
    <t xml:space="preserve">21241717b79c85913248b0c70bbc3b26369ec0bd8b42d8a3601f9425d30c7929</t>
  </si>
  <si>
    <t xml:space="preserve">webapp/src/pages/scenario04/SellerChat.jsx</t>
  </si>
  <si>
    <t xml:space="preserve">3176e83d0de6d284734abbe52e01f42c043c6fcb75db9860d006e2b73cdecfec</t>
  </si>
  <si>
    <t xml:space="preserve">webapp/src/pages/scenario04/SimPhoneHome.jsx</t>
  </si>
  <si>
    <t xml:space="preserve">488b7f4da4135b95a6b65e04fcfd6b461e26805db9081589f65f467e047215ca</t>
  </si>
  <si>
    <t xml:space="preserve">webapp/src/pages/scenario04/Unboxing.jsx</t>
  </si>
  <si>
    <t xml:space="preserve">6c08ae5ed80ae3062c2e5835abc52f2886935a765666660881a5266c2a879242</t>
  </si>
  <si>
    <t xml:space="preserve">webapp/src/pages/scenario04/blackpi/appState.js</t>
  </si>
  <si>
    <t xml:space="preserve">191709773c4c7083514a297b8ac3eb82993baf690d300649b6abcf31f5d85699</t>
  </si>
  <si>
    <t xml:space="preserve">webapp/src/pages/scenario04/blackpi/hosts.jsx</t>
  </si>
  <si>
    <t xml:space="preserve">db0c899b191305aa1fd2307a3faf6adfe3bf577c31e4e2ffac679d9097cc99ce</t>
  </si>
  <si>
    <t xml:space="preserve">webapp/src/pages/scenario04/blackpi/index.js</t>
  </si>
  <si>
    <t xml:space="preserve">88b120e69ba5f1e31ae0c1b72a1847441be254bd15777488a23859c44558bac1</t>
  </si>
  <si>
    <t xml:space="preserve">webapp/src/pages/scenario04/blackpi/routes.js</t>
  </si>
  <si>
    <t xml:space="preserve">f5f23b29f5b2185901fb74eeb29428e1d00edb9bad8ec3d14bc6f048bbd23ec8</t>
  </si>
  <si>
    <t xml:space="preserve">webapp/src/pages/scenario04/components/ClaimVsActual.jsx</t>
  </si>
  <si>
    <t xml:space="preserve">e78554cc7557535ff839a19b0a11a74fa07120e02621e80dc3c0ab6c2cc0d61a</t>
  </si>
  <si>
    <t xml:space="preserve">webapp/src/pages/scenario04/components/DebugPanel.jsx</t>
  </si>
  <si>
    <t xml:space="preserve">cfe2d2ae98c9929dcfb5af39612529bbe9df5396a2c380d4f1bd65c38824123b</t>
  </si>
  <si>
    <t xml:space="preserve">webapp/src/pages/scenario04/i18n.js</t>
  </si>
  <si>
    <t xml:space="preserve">5ddf98fc4f2bcfb9ca3bc98afc442fcc065b4c7eb6052df6b4cc19b3187a0b27</t>
  </si>
  <si>
    <t xml:space="preserve">webapp/src/pages/scenario04/supportAgent.js</t>
  </si>
  <si>
    <t xml:space="preserve">dcb5a06311fcb3ee2978ba2e5e3786e340dfd95b3eceeb39f77b63eb8575efa8</t>
  </si>
  <si>
    <t xml:space="preserve">webapp/src/pages/scenario05/Briefing.jsx</t>
  </si>
  <si>
    <t xml:space="preserve">f0a20ba75a50db1d47f23ba2ff25e6e371b2b7fffd8d7d7e3c16c182207c6798</t>
  </si>
  <si>
    <t xml:space="preserve">webapp/src/pages/scenario05/BuyerChat.jsx</t>
  </si>
  <si>
    <t xml:space="preserve">65b89cc2bfb743a3a0b8a29d0fe02e0e74a0afd1927ae9eff4004bdf5110cf16</t>
  </si>
  <si>
    <t xml:space="preserve">webapp/src/pages/scenario05/EndingCaught.jsx</t>
  </si>
  <si>
    <t xml:space="preserve">6ab102947fb6aa14e03c1c5e742ed59e23a86243bc101a1d8255e34858a98d58</t>
  </si>
  <si>
    <t xml:space="preserve">webapp/src/pages/scenario05/EndingScammed.jsx</t>
  </si>
  <si>
    <t xml:space="preserve">1efcb0f61c49197cad1eeade8b82835c15947fe1438c89cc574a86964d688bfb</t>
  </si>
  <si>
    <t xml:space="preserve">webapp/src/pages/scenario05/EndingStopped.jsx</t>
  </si>
  <si>
    <t xml:space="preserve">27e6f36c5c54236b17d32f4c5b97ef42d5bc8d2b3036592d747f7b62d5987a98</t>
  </si>
  <si>
    <t xml:space="preserve">webapp/src/pages/scenario05/HpeShip.jsx</t>
  </si>
  <si>
    <t xml:space="preserve">9680ff8b9667a08256520381a23452872ae762c506b3c7868c18c98a68c4057a</t>
  </si>
  <si>
    <t xml:space="preserve">webapp/src/pages/scenario05/MarketplaceHome.jsx</t>
  </si>
  <si>
    <t xml:space="preserve">f6f2c6088b751491f8f6237069d60419ab6b4eb55ae7e083de0ca95f6b662d6b</t>
  </si>
  <si>
    <t xml:space="preserve">webapp/src/pages/scenario05/MarketplaceListing.jsx</t>
  </si>
  <si>
    <t xml:space="preserve">0a8fc46007a1e3792e15a4d46157c81a695231ba1fe8d6a24c5ca9351584c2a1</t>
  </si>
  <si>
    <t xml:space="preserve">webapp/src/pages/scenario05/MarketplaceOrders.jsx</t>
  </si>
  <si>
    <t xml:space="preserve">a55483ccb10ff964807787a50f89ac44a52c6655a7ed8f4526b28b32ad76f4c2</t>
  </si>
  <si>
    <t xml:space="preserve">webapp/src/pages/scenario05/MarketplacePhoneHome.jsx</t>
  </si>
  <si>
    <t xml:space="preserve">80788f35f8e445a11cf05d42eb5328cd06098e388212d537d2a8f13cef133a93</t>
  </si>
  <si>
    <t xml:space="preserve">webapp/src/pages/scenario05/MarketplaceProductSelect.jsx</t>
  </si>
  <si>
    <t xml:space="preserve">d5aed2e099a9af71f918a1586bdf78c6ac2c74e425b798bcbbb21a85bc70e523</t>
  </si>
  <si>
    <t xml:space="preserve">webapp/src/pages/scenario05/OrderGone.jsx</t>
  </si>
  <si>
    <t xml:space="preserve">c306ba05d47d9cfe12248520826fb6f0849af2c3b1d1d0acd10d68ff4498d133</t>
  </si>
  <si>
    <t xml:space="preserve">webapp/src/pages/scenario05/Quiz.jsx</t>
  </si>
  <si>
    <t xml:space="preserve">61554a270db098d400b6180d1e55ddfe57e8ac8adf76e4ea7b5b11279269b8aa</t>
  </si>
  <si>
    <t xml:space="preserve">webapp/src/pages/scenario05/Reveal.jsx</t>
  </si>
  <si>
    <t xml:space="preserve">259123aed6c17c99b1d2704f3349738f4bd8d1a1630ebe5294b6c560f5639e16</t>
  </si>
  <si>
    <t xml:space="preserve">webapp/src/pages/scenario05/SafeDealPaymentStatus.jsx</t>
  </si>
  <si>
    <t xml:space="preserve">272ed16b8ec2fdb4a740f2a9ce7e3a1d79c4bee9c5ce19c78a15a390275586bb</t>
  </si>
  <si>
    <t xml:space="preserve">webapp/src/pages/scenario05/SafeDealSupportChat.jsx</t>
  </si>
  <si>
    <t xml:space="preserve">7b9f707fe791a4e5962d3b877197f715b5fd3cf718687c37daff8e8375b828ac</t>
  </si>
  <si>
    <t xml:space="preserve">webapp/src/pages/scenario05/SafeDealTransfer.jsx</t>
  </si>
  <si>
    <t xml:space="preserve">23a3a4ed5b670bae3a4e10e3bffc396fe428ecea161555f5380e04897ac4aa3d</t>
  </si>
  <si>
    <t xml:space="preserve">webapp/src/pages/scenario05/ShopCreate.jsx</t>
  </si>
  <si>
    <t xml:space="preserve">2d7f0c4bfd4a8b78ecae7abb669822764d95a5981e65c3fab372df3d715445f2</t>
  </si>
  <si>
    <t xml:space="preserve">webapp/src/pages/scenario05/TradeInfo.jsx</t>
  </si>
  <si>
    <t xml:space="preserve">3a314aaa166b55e22c072d962ff5a133ff0f3be81609920c4a152e367dee6769</t>
  </si>
  <si>
    <t xml:space="preserve">webapp/src/pages/scenario05/components/BrowserChrome.jsx</t>
  </si>
  <si>
    <t xml:space="preserve">eca0b8d0ee6d1f278a89bdc96e2b9390106a6a70f0236ee67c64a0f3a6a54d9a</t>
  </si>
  <si>
    <t xml:space="preserve">webapp/src/pages/scenario05/components/SafeDealSupportSurface.jsx</t>
  </si>
  <si>
    <t xml:space="preserve">f8cc0190b40376cde118d03de88ede170e923939279e27c6eed162f9cdc87635</t>
  </si>
  <si>
    <t xml:space="preserve">webapp/src/pages/scenario05/components/SuqubianSiteHeader.jsx</t>
  </si>
  <si>
    <t xml:space="preserve">b788dae722efd981ed58a8d665227cd3bb3e977650fb2a7c5c5abbc20a34424a</t>
  </si>
  <si>
    <t xml:space="preserve">webapp/src/pages/scenario05/i18n.js</t>
  </si>
  <si>
    <t xml:space="preserve">db36147648b50c980f091b283d21970511ddbd6c50cad6084a787a5b733167d1</t>
  </si>
  <si>
    <t xml:space="preserve">webapp/src/pages/scenario05/useMarketplaceNav.js</t>
  </si>
  <si>
    <t xml:space="preserve">29d9adb2097434bdb5e91686c4f68362a58b04236750d5a945b1af506ba16de3</t>
  </si>
  <si>
    <t xml:space="preserve">webapp/src/pages/scenarioMenuI18n.js</t>
  </si>
  <si>
    <t xml:space="preserve">4939459ba2cf135512cca18adf966d3582501878a5141ac9dc1a2880add0cd38</t>
  </si>
  <si>
    <t xml:space="preserve">webapp/src/pages/staff/StaffHandoffConfirm.jsx</t>
  </si>
  <si>
    <t xml:space="preserve">98e16829bf7ebac784b1f7409b3c6b25eef844bf41b65c355a5033c96e900711</t>
  </si>
  <si>
    <t xml:space="preserve">webapp/src/pages/staff/StaffLocationSummary.jsx</t>
  </si>
  <si>
    <t xml:space="preserve">7bd4b9a0de16baacc86e7dcd9d77c5dd8a18fb26e228cd837e8dc77d4b1ee7aa</t>
  </si>
  <si>
    <t xml:space="preserve">webapp/src/pages/staff/StaffSetupScreen.jsx</t>
  </si>
  <si>
    <t xml:space="preserve">466d426c8a7aa1a943782a30c67c8eceea6ffd2fc94439bd3fe11ca7d700acac</t>
  </si>
  <si>
    <t xml:space="preserve">webapp/src/pages/staff/StaffVersionPanel.jsx</t>
  </si>
  <si>
    <t xml:space="preserve">62430193caae31382dc186fda3fc5522949ea82f714fb8de3ecb9fefa0f6ca63</t>
  </si>
  <si>
    <t xml:space="preserve">webapp/src/pages/staff/staff.css</t>
  </si>
  <si>
    <t xml:space="preserve">cd24afa2dd4dcd85e7a2637e628f8966cd022140d0cedafa87878c93db838101</t>
  </si>
  <si>
    <t xml:space="preserve">webapp/src/pages/staff/useHiddenStaffEntry.js</t>
  </si>
  <si>
    <t xml:space="preserve">be648c9acef1684b3cd7934cf31515ede1cce1eac5aac2bceead7cacf4e6b0be</t>
  </si>
  <si>
    <t xml:space="preserve">webapp/src/routes.jsx</t>
  </si>
  <si>
    <t xml:space="preserve">623d118c470d3a71253233e7c347869c97bf8b0709d004fca3e9effd0796b76f</t>
  </si>
  <si>
    <t xml:space="preserve">webapp/src/shared/i18n/createTranslator.js</t>
  </si>
  <si>
    <t xml:space="preserve">d6fc09cfc6a81f446479ce00589c493116a900a61045f770e0174d7487dc541f</t>
  </si>
  <si>
    <t xml:space="preserve">webapp/src/shared/i18n/scenario02.js</t>
  </si>
  <si>
    <t xml:space="preserve">41237ee13da110312cf98a8bbae4d78d1be34d02b134ff3520ecaf3d5dbb1f5f</t>
  </si>
  <si>
    <t xml:space="preserve">webapp/src/shared/i18n/scenario02En.js</t>
  </si>
  <si>
    <t xml:space="preserve">fb3045f022f0a031df7fe7455e790cf982e26570e394db8284de7c232e89d015</t>
  </si>
  <si>
    <t xml:space="preserve">webapp/src/shared/i18n/scenario02Jp.js</t>
  </si>
  <si>
    <t xml:space="preserve">70567609bf0889eeeecd7cfd181d4b4aaa77a8a0245b34c2a0f96ba7243bce16</t>
  </si>
  <si>
    <t xml:space="preserve">webapp/src/shared/i18n/scenario04.js</t>
  </si>
  <si>
    <t xml:space="preserve">abdcb9bfecb24a9fa4a7376e7b17e53c59eb24dadbfc2cf7939ecd2c48850f95</t>
  </si>
  <si>
    <t xml:space="preserve">webapp/src/shared/i18n/scenario04En.js</t>
  </si>
  <si>
    <t xml:space="preserve">5315dbfd9a6db35c09a3133e62cc5f51b6b0c6074a00622bdaa52042d44ff536</t>
  </si>
  <si>
    <t xml:space="preserve">webapp/src/shared/i18n/scenario04Jp.js</t>
  </si>
  <si>
    <t xml:space="preserve">086b49d1b792d7bb53aeba08beb29d2ab9dd2263c38fcaa4c13ec838aaaf47fa</t>
  </si>
  <si>
    <t xml:space="preserve">webapp/src/shared/i18n/scenario05.js</t>
  </si>
  <si>
    <t xml:space="preserve">ecfaac8ffb933a66b443ee3de11516a27c791e967cd130b282a3f603ab1a8df9</t>
  </si>
  <si>
    <t xml:space="preserve">webapp/src/shared/i18n/scenario05En.js</t>
  </si>
  <si>
    <t xml:space="preserve">df9f5d1a69806f924238e66b29db1079f07f2d0ee12c2cd59a019fe9f1c44301</t>
  </si>
  <si>
    <t xml:space="preserve">webapp/src/shared/i18n/scenario05Jp.js</t>
  </si>
  <si>
    <t xml:space="preserve">ae59e85b91e6a682db6cf9e981e48ccaa4734b37ba63c3a56c357fc413ab95d7</t>
  </si>
  <si>
    <t xml:space="preserve">webapp/src/shared/phone/PhoneHome.css</t>
  </si>
  <si>
    <t xml:space="preserve">294d57b88a2802ee3bb2f9b700c30f19515fbee58496e96422db7e3c1b58efe3</t>
  </si>
  <si>
    <t xml:space="preserve">webapp/src/shared/phone/PhoneHome.jsx</t>
  </si>
  <si>
    <t xml:space="preserve">bd94023aae33ed0e87a982be33cd3bee1f5a02463f62a278ff4ab72eade233f2</t>
  </si>
  <si>
    <t xml:space="preserve">webapp/src/shell/AppShell.jsx</t>
  </si>
  <si>
    <t xml:space="preserve">f1194f7ab224f2177d6af773b2f948f439a2ecfd47f4f3cf52bd06ad677d3217</t>
  </si>
  <si>
    <t xml:space="preserve">webapp/src/shell/StageClassContext.jsx</t>
  </si>
  <si>
    <t xml:space="preserve">07a1262468f66172f2fc94f795e35a8ffc53ec7cebad972eab5cba7afbb15b1c</t>
  </si>
  <si>
    <t xml:space="preserve">webapp/src/shell/TopBar.jsx</t>
  </si>
  <si>
    <t xml:space="preserve">ce312a016f7a858ad6955e3821867edb829499700f031d7b26e292f1a44a79c1</t>
  </si>
  <si>
    <t xml:space="preserve">webapp/src/shell/useFitStage.js</t>
  </si>
  <si>
    <t xml:space="preserve">d1d5420911ab1b40742f4acf98c142ca062a39837670152d2d13171c4a26c4fe</t>
  </si>
  <si>
    <t xml:space="preserve">webapp/src/styles/global.css</t>
  </si>
  <si>
    <t xml:space="preserve">5f9f4eb74be65cd50f480d3778cefc11625b337a4d0f41590af8b3dd2da71340</t>
  </si>
  <si>
    <t xml:space="preserve">webapp/src/styles/scenario01.css</t>
  </si>
  <si>
    <t xml:space="preserve">6d85a60ff9b55fae7e214bd38cc66d15e6cd710fdeb228011a6114d8d90c3307</t>
  </si>
  <si>
    <t xml:space="preserve">webapp/src/styles/scenario02.css</t>
  </si>
  <si>
    <t xml:space="preserve">697c11d31d260ad56fb7ddba369e24f93802077c475785da8597ec7040b4e19e</t>
  </si>
  <si>
    <t xml:space="preserve">webapp/src/styles/scenario03.css</t>
  </si>
  <si>
    <t xml:space="preserve">d918d09ec72934cbb53c539cc662642622cfc584328d61977b36a4f3bee88ff6</t>
  </si>
  <si>
    <t xml:space="preserve">webapp/vite.config.js</t>
  </si>
  <si>
    <t xml:space="preserve">fa62af02edd87f5ff113047dcaa8c227de0206bfb3655087740431508b8cd39f</t>
  </si>
  <si>
    <t xml:space="preserve">合計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</si>
</sst>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#,##0;\(#,##0\);\-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b val="true"/>
      <sz val="18"/>
      <color rgb="FF000000"/>
      <name val="Noto Sans CJK SC"/>
      <family val="2"/>
    </font>
    <font>
      <sz val="11"/>
      <color rgb="FF595959"/>
      <name val="Noto Sans CJK SC"/>
      <family val="2"/>
    </font>
    <font>
      <sz val="11"/>
      <color rgb="FF595959"/>
      <name val="Arial"/>
      <family val="0"/>
      <charset val="1"/>
    </font>
    <font>
      <b val="true"/>
      <sz val="12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FF"/>
      <name val="Noto Sans CJK SC"/>
      <family val="2"/>
    </font>
    <font>
      <b val="true"/>
      <sz val="10"/>
      <color rgb="FF008000"/>
      <name val="Noto Sans CJK SC"/>
      <family val="2"/>
    </font>
    <font>
      <b val="true"/>
      <sz val="14"/>
      <color rgb="FF000000"/>
      <name val="Arial"/>
      <family val="0"/>
      <charset val="1"/>
    </font>
    <font>
      <b val="true"/>
      <sz val="14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i val="true"/>
      <sz val="10"/>
      <color rgb="FF595959"/>
      <name val="Noto Sans CJK SC"/>
      <family val="2"/>
    </font>
    <font>
      <sz val="9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78"/>
  </cols>
  <sheetData>
    <row r="1" customFormat="false" ht="27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6" t="s">
        <v>6</v>
      </c>
    </row>
    <row r="7" customFormat="false" ht="15" hidden="false" customHeight="false" outlineLevel="0" collapsed="false">
      <c r="B7" s="7" t="s">
        <v>7</v>
      </c>
      <c r="C7" s="5" t="s">
        <v>8</v>
      </c>
    </row>
    <row r="8" customFormat="false" ht="15" hidden="false" customHeight="false" outlineLevel="0" collapsed="false">
      <c r="B8" s="7" t="s">
        <v>9</v>
      </c>
      <c r="C8" s="5" t="s">
        <v>10</v>
      </c>
    </row>
    <row r="9" customFormat="false" ht="15" hidden="false" customHeight="false" outlineLevel="0" collapsed="false">
      <c r="B9" s="7" t="s">
        <v>11</v>
      </c>
      <c r="C9" s="5" t="s">
        <v>12</v>
      </c>
    </row>
    <row r="10" customFormat="false" ht="15" hidden="false" customHeight="false" outlineLevel="0" collapsed="false">
      <c r="B10" s="4" t="s">
        <v>13</v>
      </c>
      <c r="C10" s="5" t="s">
        <v>14</v>
      </c>
    </row>
    <row r="11" customFormat="false" ht="15" hidden="false" customHeight="false" outlineLevel="0" collapsed="false">
      <c r="B11" s="7" t="s">
        <v>15</v>
      </c>
      <c r="C11" s="5" t="s">
        <v>16</v>
      </c>
    </row>
    <row r="12" customFormat="false" ht="15" hidden="false" customHeight="false" outlineLevel="0" collapsed="false">
      <c r="B12" s="7" t="s">
        <v>17</v>
      </c>
      <c r="C12" s="8" t="n">
        <v>120435402</v>
      </c>
    </row>
    <row r="13" customFormat="false" ht="15" hidden="false" customHeight="false" outlineLevel="0" collapsed="false">
      <c r="B13" s="7" t="s">
        <v>18</v>
      </c>
      <c r="C13" s="5" t="s">
        <v>19</v>
      </c>
    </row>
    <row r="14" customFormat="false" ht="15" hidden="false" customHeight="false" outlineLevel="0" collapsed="false">
      <c r="B14" s="4" t="s">
        <v>20</v>
      </c>
      <c r="C14" s="5" t="s">
        <v>21</v>
      </c>
    </row>
    <row r="15" customFormat="false" ht="15" hidden="false" customHeight="false" outlineLevel="0" collapsed="false">
      <c r="B15" s="7" t="s">
        <v>22</v>
      </c>
      <c r="C15" s="5" t="s">
        <v>23</v>
      </c>
    </row>
    <row r="16" customFormat="false" ht="15" hidden="false" customHeight="false" outlineLevel="0" collapsed="false">
      <c r="B16" s="7" t="s">
        <v>24</v>
      </c>
      <c r="C16" s="6" t="s">
        <v>25</v>
      </c>
    </row>
    <row r="17" customFormat="false" ht="15" hidden="false" customHeight="false" outlineLevel="0" collapsed="false">
      <c r="B17" s="4" t="s">
        <v>26</v>
      </c>
      <c r="C17" s="9" t="n">
        <v>1</v>
      </c>
      <c r="D17" s="10" t="s">
        <v>27</v>
      </c>
    </row>
    <row r="19" customFormat="false" ht="15" hidden="false" customHeight="false" outlineLevel="0" collapsed="false">
      <c r="B19" s="3" t="s">
        <v>28</v>
      </c>
    </row>
    <row r="20" customFormat="false" ht="15" hidden="false" customHeight="false" outlineLevel="0" collapsed="false">
      <c r="B20" s="4" t="s">
        <v>29</v>
      </c>
      <c r="C20" s="11" t="n">
        <f aca="false">COUNTA(硬體BOM!B5:B8)</f>
        <v>4</v>
      </c>
    </row>
    <row r="21" customFormat="false" ht="15" hidden="false" customHeight="false" outlineLevel="0" collapsed="false">
      <c r="B21" s="4" t="s">
        <v>30</v>
      </c>
      <c r="C21" s="11" t="n">
        <f aca="false">COUNTIF(軟體BOM!D5:D46,2)</f>
        <v>38</v>
      </c>
    </row>
    <row r="22" customFormat="false" ht="15" hidden="false" customHeight="false" outlineLevel="0" collapsed="false">
      <c r="B22" s="7" t="s">
        <v>31</v>
      </c>
      <c r="C22" s="11" t="n">
        <f aca="false">檔案清單!A1335</f>
        <v>1330</v>
      </c>
    </row>
    <row r="23" customFormat="false" ht="15" hidden="false" customHeight="false" outlineLevel="0" collapsed="false">
      <c r="B23" s="7" t="s">
        <v>32</v>
      </c>
      <c r="C23" s="12" t="n">
        <f aca="false">檔案清單!G1335/1048576</f>
        <v>307.496582984924</v>
      </c>
    </row>
    <row r="24" customFormat="false" ht="15" hidden="false" customHeight="false" outlineLevel="0" collapsed="false">
      <c r="B24" s="4" t="s">
        <v>33</v>
      </c>
      <c r="C24" s="11" t="n">
        <f aca="false">COUNTA(第三方元件!B5:B30)</f>
        <v>26</v>
      </c>
    </row>
    <row r="25" customFormat="false" ht="15" hidden="false" customHeight="false" outlineLevel="0" collapsed="false">
      <c r="B25" s="4" t="s">
        <v>34</v>
      </c>
      <c r="C25" s="13" t="n">
        <f aca="false">硬體BOM!L9</f>
        <v>0</v>
      </c>
    </row>
    <row r="26" customFormat="false" ht="15" hidden="false" customHeight="false" outlineLevel="0" collapsed="false">
      <c r="B26" s="7" t="s">
        <v>35</v>
      </c>
      <c r="C26" s="13" t="n">
        <f aca="false">BOM總表!K53</f>
        <v>0</v>
      </c>
    </row>
    <row r="28" customFormat="false" ht="15" hidden="false" customHeight="false" outlineLevel="0" collapsed="false">
      <c r="B28" s="3" t="s">
        <v>36</v>
      </c>
    </row>
    <row r="29" customFormat="false" ht="15" hidden="false" customHeight="false" outlineLevel="0" collapsed="false">
      <c r="B29" s="14" t="s">
        <v>37</v>
      </c>
      <c r="C29" s="6" t="s">
        <v>38</v>
      </c>
    </row>
    <row r="30" customFormat="false" ht="15" hidden="false" customHeight="false" outlineLevel="0" collapsed="false">
      <c r="B30" s="15" t="s">
        <v>39</v>
      </c>
      <c r="C30" s="6" t="s">
        <v>40</v>
      </c>
    </row>
    <row r="31" customFormat="false" ht="15" hidden="false" customHeight="false" outlineLevel="0" collapsed="false">
      <c r="B31" s="4" t="s">
        <v>41</v>
      </c>
      <c r="C31" s="6" t="s">
        <v>42</v>
      </c>
    </row>
    <row r="32" customFormat="false" ht="15" hidden="false" customHeight="false" outlineLevel="0" collapsed="false">
      <c r="B32" s="4" t="s">
        <v>43</v>
      </c>
      <c r="C32" s="6" t="s">
        <v>44</v>
      </c>
    </row>
    <row r="34" customFormat="false" ht="15" hidden="false" customHeight="false" outlineLevel="0" collapsed="false">
      <c r="B34" s="3" t="s">
        <v>45</v>
      </c>
    </row>
    <row r="35" customFormat="false" ht="15" hidden="false" customHeight="false" outlineLevel="0" collapsed="false">
      <c r="B35" s="7" t="s">
        <v>46</v>
      </c>
      <c r="C35" s="6" t="s">
        <v>47</v>
      </c>
    </row>
    <row r="36" customFormat="false" ht="15" hidden="false" customHeight="false" outlineLevel="0" collapsed="false">
      <c r="B36" s="4" t="s">
        <v>48</v>
      </c>
      <c r="C36" s="6" t="s">
        <v>49</v>
      </c>
    </row>
    <row r="37" customFormat="false" ht="15" hidden="false" customHeight="false" outlineLevel="0" collapsed="false">
      <c r="B37" s="4" t="s">
        <v>50</v>
      </c>
      <c r="C37" s="5" t="s">
        <v>51</v>
      </c>
    </row>
    <row r="38" customFormat="false" ht="15" hidden="false" customHeight="false" outlineLevel="0" collapsed="false">
      <c r="B38" s="4" t="s">
        <v>52</v>
      </c>
      <c r="C38" s="6" t="s">
        <v>53</v>
      </c>
    </row>
    <row r="39" customFormat="false" ht="15" hidden="false" customHeight="false" outlineLevel="0" collapsed="false">
      <c r="B39" s="4" t="s">
        <v>54</v>
      </c>
      <c r="C39" s="5" t="s">
        <v>55</v>
      </c>
    </row>
    <row r="41" customFormat="false" ht="15" hidden="false" customHeight="false" outlineLevel="0" collapsed="false">
      <c r="B41" s="3" t="s">
        <v>56</v>
      </c>
    </row>
    <row r="42" customFormat="false" ht="15" hidden="false" customHeight="false" outlineLevel="0" collapsed="false">
      <c r="B42" s="4" t="s">
        <v>57</v>
      </c>
      <c r="C42" s="5" t="s">
        <v>58</v>
      </c>
    </row>
    <row r="43" customFormat="false" ht="29.85" hidden="false" customHeight="false" outlineLevel="0" collapsed="false">
      <c r="B43" s="4" t="s">
        <v>59</v>
      </c>
      <c r="C43" s="5" t="s">
        <v>60</v>
      </c>
    </row>
    <row r="44" customFormat="false" ht="15" hidden="false" customHeight="false" outlineLevel="0" collapsed="false">
      <c r="B44" s="4" t="s">
        <v>61</v>
      </c>
      <c r="C44" s="6" t="s">
        <v>62</v>
      </c>
    </row>
    <row r="45" customFormat="false" ht="15" hidden="false" customHeight="false" outlineLevel="0" collapsed="false">
      <c r="B45" s="4" t="s">
        <v>54</v>
      </c>
      <c r="C45" s="5" t="s">
        <v>63</v>
      </c>
    </row>
  </sheetData>
  <dataValidations count="1">
    <dataValidation allowBlank="false" error="請輸入 ≥ 1 的整數" errorStyle="stop" operator="greaterThanOrEqual" showDropDown="false" showErrorMessage="true" showInputMessage="false" sqref="C17" type="whole">
      <formula1>1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5" min="14" style="0" width="26"/>
  </cols>
  <sheetData>
    <row r="1" customFormat="false" ht="21.6" hidden="false" customHeight="false" outlineLevel="0" collapsed="false">
      <c r="A1" s="16" t="s">
        <v>64</v>
      </c>
    </row>
    <row r="2" customFormat="false" ht="15" hidden="false" customHeight="false" outlineLevel="0" collapsed="false">
      <c r="A2" s="10" t="s">
        <v>65</v>
      </c>
    </row>
    <row r="4" customFormat="false" ht="30" hidden="false" customHeight="true" outlineLevel="0" collapsed="false">
      <c r="A4" s="17" t="s">
        <v>66</v>
      </c>
      <c r="B4" s="17" t="s">
        <v>67</v>
      </c>
      <c r="C4" s="17" t="s">
        <v>68</v>
      </c>
      <c r="D4" s="17" t="s">
        <v>69</v>
      </c>
      <c r="E4" s="17" t="s">
        <v>70</v>
      </c>
      <c r="F4" s="17" t="s">
        <v>71</v>
      </c>
      <c r="G4" s="17" t="s">
        <v>72</v>
      </c>
      <c r="H4" s="17" t="s">
        <v>73</v>
      </c>
      <c r="I4" s="17" t="s">
        <v>74</v>
      </c>
      <c r="J4" s="17" t="s">
        <v>75</v>
      </c>
      <c r="K4" s="17" t="s">
        <v>76</v>
      </c>
      <c r="L4" s="17" t="s">
        <v>77</v>
      </c>
      <c r="M4" s="17" t="s">
        <v>78</v>
      </c>
      <c r="N4" s="17" t="s">
        <v>79</v>
      </c>
      <c r="O4" s="17" t="s">
        <v>80</v>
      </c>
    </row>
    <row r="5" customFormat="false" ht="30" hidden="false" customHeight="true" outlineLevel="0" collapsed="false">
      <c r="A5" s="18" t="s">
        <v>81</v>
      </c>
      <c r="B5" s="19" t="n">
        <v>0</v>
      </c>
      <c r="C5" s="18" t="s">
        <v>82</v>
      </c>
      <c r="D5" s="18" t="s">
        <v>83</v>
      </c>
      <c r="E5" s="18" t="s">
        <v>84</v>
      </c>
      <c r="F5" s="20" t="s">
        <v>85</v>
      </c>
      <c r="G5" s="21" t="n">
        <v>1</v>
      </c>
      <c r="H5" s="20" t="s">
        <v>86</v>
      </c>
      <c r="I5" s="22" t="n">
        <f aca="false">G5*封面!$C$17</f>
        <v>1</v>
      </c>
      <c r="J5" s="18"/>
      <c r="K5" s="23" t="n">
        <f aca="false">K53</f>
        <v>0</v>
      </c>
      <c r="L5" s="24" t="n">
        <f aca="false">L53</f>
        <v>1330</v>
      </c>
      <c r="M5" s="25" t="n">
        <f aca="false">M53</f>
        <v>307.496582984924</v>
      </c>
      <c r="N5" s="26" t="s">
        <v>87</v>
      </c>
      <c r="O5" s="18" t="s">
        <v>88</v>
      </c>
    </row>
    <row r="6" customFormat="false" ht="30" hidden="false" customHeight="true" outlineLevel="0" collapsed="false">
      <c r="A6" s="27" t="s">
        <v>89</v>
      </c>
      <c r="B6" s="28" t="n">
        <v>1</v>
      </c>
      <c r="C6" s="27" t="s">
        <v>90</v>
      </c>
      <c r="D6" s="29" t="s">
        <v>91</v>
      </c>
      <c r="E6" s="27" t="s">
        <v>92</v>
      </c>
      <c r="F6" s="30" t="s">
        <v>93</v>
      </c>
      <c r="G6" s="31"/>
      <c r="H6" s="30"/>
      <c r="I6" s="29"/>
      <c r="J6" s="29"/>
      <c r="K6" s="32" t="n">
        <f aca="false">硬體BOM!L9</f>
        <v>0</v>
      </c>
      <c r="L6" s="29"/>
      <c r="M6" s="29"/>
      <c r="N6" s="29" t="s">
        <v>94</v>
      </c>
      <c r="O6" s="27" t="s">
        <v>88</v>
      </c>
    </row>
    <row r="7" customFormat="false" ht="30" hidden="false" customHeight="true" outlineLevel="0" collapsed="false">
      <c r="A7" s="5" t="s">
        <v>95</v>
      </c>
      <c r="B7" s="33" t="n">
        <v>2</v>
      </c>
      <c r="C7" s="5" t="s">
        <v>96</v>
      </c>
      <c r="D7" s="6" t="s">
        <v>97</v>
      </c>
      <c r="E7" s="5" t="s">
        <v>98</v>
      </c>
      <c r="F7" s="34" t="s">
        <v>93</v>
      </c>
      <c r="G7" s="35" t="n">
        <v>1</v>
      </c>
      <c r="H7" s="34" t="s">
        <v>99</v>
      </c>
      <c r="I7" s="36" t="n">
        <f aca="false">G7*封面!$C$17</f>
        <v>1</v>
      </c>
      <c r="J7" s="37" t="n">
        <f aca="false">硬體BOM!K5</f>
        <v>0</v>
      </c>
      <c r="K7" s="38" t="n">
        <f aca="false">I7*J7</f>
        <v>0</v>
      </c>
      <c r="L7" s="5"/>
      <c r="M7" s="5"/>
      <c r="N7" s="6" t="s">
        <v>94</v>
      </c>
      <c r="O7" s="6" t="s">
        <v>100</v>
      </c>
    </row>
    <row r="8" customFormat="false" ht="30" hidden="false" customHeight="true" outlineLevel="0" collapsed="false">
      <c r="A8" s="5" t="s">
        <v>101</v>
      </c>
      <c r="B8" s="33" t="n">
        <v>2</v>
      </c>
      <c r="C8" s="5" t="s">
        <v>102</v>
      </c>
      <c r="D8" s="6" t="s">
        <v>103</v>
      </c>
      <c r="E8" s="6" t="s">
        <v>104</v>
      </c>
      <c r="F8" s="34" t="s">
        <v>93</v>
      </c>
      <c r="G8" s="35" t="n">
        <v>1</v>
      </c>
      <c r="H8" s="34" t="s">
        <v>105</v>
      </c>
      <c r="I8" s="36" t="n">
        <f aca="false">G8*封面!$C$17</f>
        <v>1</v>
      </c>
      <c r="J8" s="37" t="n">
        <f aca="false">硬體BOM!K6</f>
        <v>0</v>
      </c>
      <c r="K8" s="38" t="n">
        <f aca="false">I8*J8</f>
        <v>0</v>
      </c>
      <c r="L8" s="5"/>
      <c r="M8" s="5"/>
      <c r="N8" s="6" t="s">
        <v>94</v>
      </c>
      <c r="O8" s="6" t="s">
        <v>106</v>
      </c>
    </row>
    <row r="9" customFormat="false" ht="30" hidden="false" customHeight="true" outlineLevel="0" collapsed="false">
      <c r="A9" s="5" t="s">
        <v>107</v>
      </c>
      <c r="B9" s="33" t="n">
        <v>2</v>
      </c>
      <c r="C9" s="5" t="s">
        <v>108</v>
      </c>
      <c r="D9" s="6" t="s">
        <v>109</v>
      </c>
      <c r="E9" s="6" t="s">
        <v>110</v>
      </c>
      <c r="F9" s="34" t="s">
        <v>93</v>
      </c>
      <c r="G9" s="35" t="n">
        <v>1</v>
      </c>
      <c r="H9" s="34" t="s">
        <v>111</v>
      </c>
      <c r="I9" s="36" t="n">
        <f aca="false">G9*封面!$C$17</f>
        <v>1</v>
      </c>
      <c r="J9" s="37" t="n">
        <f aca="false">硬體BOM!K7</f>
        <v>0</v>
      </c>
      <c r="K9" s="38" t="n">
        <f aca="false">I9*J9</f>
        <v>0</v>
      </c>
      <c r="L9" s="5"/>
      <c r="M9" s="5"/>
      <c r="N9" s="6" t="s">
        <v>94</v>
      </c>
      <c r="O9" s="6" t="s">
        <v>106</v>
      </c>
    </row>
    <row r="10" customFormat="false" ht="30" hidden="false" customHeight="true" outlineLevel="0" collapsed="false">
      <c r="A10" s="5" t="s">
        <v>112</v>
      </c>
      <c r="B10" s="33" t="n">
        <v>2</v>
      </c>
      <c r="C10" s="5" t="s">
        <v>113</v>
      </c>
      <c r="D10" s="6" t="s">
        <v>114</v>
      </c>
      <c r="E10" s="5" t="s">
        <v>115</v>
      </c>
      <c r="F10" s="34" t="s">
        <v>93</v>
      </c>
      <c r="G10" s="35" t="n">
        <v>1</v>
      </c>
      <c r="H10" s="34" t="s">
        <v>116</v>
      </c>
      <c r="I10" s="36" t="n">
        <f aca="false">G10*封面!$C$17</f>
        <v>1</v>
      </c>
      <c r="J10" s="37" t="n">
        <f aca="false">硬體BOM!K8</f>
        <v>0</v>
      </c>
      <c r="K10" s="38" t="n">
        <f aca="false">I10*J10</f>
        <v>0</v>
      </c>
      <c r="L10" s="5"/>
      <c r="M10" s="5"/>
      <c r="N10" s="6" t="s">
        <v>94</v>
      </c>
      <c r="O10" s="5" t="s">
        <v>117</v>
      </c>
    </row>
    <row r="11" customFormat="false" ht="30" hidden="false" customHeight="true" outlineLevel="0" collapsed="false">
      <c r="A11" s="27" t="s">
        <v>118</v>
      </c>
      <c r="B11" s="30" t="n">
        <v>1</v>
      </c>
      <c r="C11" s="27" t="s">
        <v>119</v>
      </c>
      <c r="D11" s="29" t="s">
        <v>120</v>
      </c>
      <c r="E11" s="27" t="s">
        <v>121</v>
      </c>
      <c r="F11" s="30" t="s">
        <v>122</v>
      </c>
      <c r="G11" s="39" t="n">
        <v>1</v>
      </c>
      <c r="H11" s="30" t="s">
        <v>86</v>
      </c>
      <c r="I11" s="40" t="n">
        <f aca="false">G11*封面!$C$17</f>
        <v>1</v>
      </c>
      <c r="J11" s="41"/>
      <c r="K11" s="42" t="n">
        <f aca="false">I11*J11</f>
        <v>0</v>
      </c>
      <c r="L11" s="43" t="n">
        <f aca="false">軟體BOM!J5</f>
        <v>109</v>
      </c>
      <c r="M11" s="44" t="n">
        <f aca="false">軟體BOM!K5</f>
        <v>18.5807018280029</v>
      </c>
      <c r="N11" s="27" t="s">
        <v>123</v>
      </c>
      <c r="O11" s="29" t="s">
        <v>124</v>
      </c>
    </row>
    <row r="12" customFormat="false" ht="30" hidden="false" customHeight="true" outlineLevel="0" collapsed="false">
      <c r="A12" s="5" t="s">
        <v>125</v>
      </c>
      <c r="B12" s="33" t="n">
        <v>2</v>
      </c>
      <c r="C12" s="5" t="s">
        <v>126</v>
      </c>
      <c r="D12" s="6" t="s">
        <v>127</v>
      </c>
      <c r="E12" s="5" t="s">
        <v>128</v>
      </c>
      <c r="F12" s="34" t="s">
        <v>122</v>
      </c>
      <c r="G12" s="35" t="n">
        <v>1</v>
      </c>
      <c r="H12" s="34" t="s">
        <v>129</v>
      </c>
      <c r="I12" s="36" t="n">
        <f aca="false">G12*封面!$C$17</f>
        <v>1</v>
      </c>
      <c r="J12" s="5"/>
      <c r="K12" s="5"/>
      <c r="L12" s="45" t="n">
        <f aca="false">軟體BOM!J6</f>
        <v>24</v>
      </c>
      <c r="M12" s="46" t="n">
        <f aca="false">軟體BOM!K6</f>
        <v>0.202046394348145</v>
      </c>
      <c r="N12" s="5" t="s">
        <v>130</v>
      </c>
      <c r="O12" s="6" t="s">
        <v>131</v>
      </c>
    </row>
    <row r="13" customFormat="false" ht="30" hidden="false" customHeight="true" outlineLevel="0" collapsed="false">
      <c r="A13" s="5" t="s">
        <v>132</v>
      </c>
      <c r="B13" s="33" t="n">
        <v>2</v>
      </c>
      <c r="C13" s="5" t="s">
        <v>133</v>
      </c>
      <c r="D13" s="6" t="s">
        <v>134</v>
      </c>
      <c r="E13" s="5" t="s">
        <v>128</v>
      </c>
      <c r="F13" s="34" t="s">
        <v>122</v>
      </c>
      <c r="G13" s="35" t="n">
        <v>1</v>
      </c>
      <c r="H13" s="34" t="s">
        <v>129</v>
      </c>
      <c r="I13" s="36" t="n">
        <f aca="false">G13*封面!$C$17</f>
        <v>1</v>
      </c>
      <c r="J13" s="5"/>
      <c r="K13" s="5"/>
      <c r="L13" s="45" t="n">
        <f aca="false">軟體BOM!J7</f>
        <v>23</v>
      </c>
      <c r="M13" s="46" t="n">
        <f aca="false">軟體BOM!K7</f>
        <v>0.125225067138672</v>
      </c>
      <c r="N13" s="5" t="s">
        <v>130</v>
      </c>
      <c r="O13" s="6" t="s">
        <v>131</v>
      </c>
    </row>
    <row r="14" customFormat="false" ht="30" hidden="false" customHeight="true" outlineLevel="0" collapsed="false">
      <c r="A14" s="5" t="s">
        <v>135</v>
      </c>
      <c r="B14" s="33" t="n">
        <v>2</v>
      </c>
      <c r="C14" s="5" t="s">
        <v>136</v>
      </c>
      <c r="D14" s="6" t="s">
        <v>137</v>
      </c>
      <c r="E14" s="5" t="s">
        <v>128</v>
      </c>
      <c r="F14" s="34" t="s">
        <v>122</v>
      </c>
      <c r="G14" s="35" t="n">
        <v>1</v>
      </c>
      <c r="H14" s="34" t="s">
        <v>129</v>
      </c>
      <c r="I14" s="36" t="n">
        <f aca="false">G14*封面!$C$17</f>
        <v>1</v>
      </c>
      <c r="J14" s="5"/>
      <c r="K14" s="5"/>
      <c r="L14" s="45" t="n">
        <f aca="false">軟體BOM!J8</f>
        <v>11</v>
      </c>
      <c r="M14" s="46" t="n">
        <f aca="false">軟體BOM!K8</f>
        <v>0.255378723144531</v>
      </c>
      <c r="N14" s="5" t="s">
        <v>130</v>
      </c>
      <c r="O14" s="6" t="s">
        <v>131</v>
      </c>
    </row>
    <row r="15" customFormat="false" ht="30" hidden="false" customHeight="true" outlineLevel="0" collapsed="false">
      <c r="A15" s="5" t="s">
        <v>138</v>
      </c>
      <c r="B15" s="33" t="n">
        <v>2</v>
      </c>
      <c r="C15" s="5" t="s">
        <v>139</v>
      </c>
      <c r="D15" s="6" t="s">
        <v>140</v>
      </c>
      <c r="E15" s="5" t="s">
        <v>141</v>
      </c>
      <c r="F15" s="34" t="s">
        <v>142</v>
      </c>
      <c r="G15" s="35" t="n">
        <v>1</v>
      </c>
      <c r="H15" s="34" t="s">
        <v>129</v>
      </c>
      <c r="I15" s="36" t="n">
        <f aca="false">G15*封面!$C$17</f>
        <v>1</v>
      </c>
      <c r="J15" s="5"/>
      <c r="K15" s="5"/>
      <c r="L15" s="45" t="n">
        <f aca="false">軟體BOM!J9</f>
        <v>1</v>
      </c>
      <c r="M15" s="46" t="n">
        <f aca="false">軟體BOM!K9</f>
        <v>7.42130756378174</v>
      </c>
      <c r="N15" s="5" t="s">
        <v>130</v>
      </c>
      <c r="O15" s="6" t="s">
        <v>143</v>
      </c>
    </row>
    <row r="16" customFormat="false" ht="30" hidden="false" customHeight="true" outlineLevel="0" collapsed="false">
      <c r="A16" s="5" t="s">
        <v>144</v>
      </c>
      <c r="B16" s="33" t="n">
        <v>2</v>
      </c>
      <c r="C16" s="5" t="s">
        <v>145</v>
      </c>
      <c r="D16" s="6" t="s">
        <v>146</v>
      </c>
      <c r="E16" s="5" t="s">
        <v>147</v>
      </c>
      <c r="F16" s="34" t="s">
        <v>122</v>
      </c>
      <c r="G16" s="35" t="n">
        <v>1</v>
      </c>
      <c r="H16" s="34" t="s">
        <v>129</v>
      </c>
      <c r="I16" s="36" t="n">
        <f aca="false">G16*封面!$C$17</f>
        <v>1</v>
      </c>
      <c r="J16" s="5"/>
      <c r="K16" s="5"/>
      <c r="L16" s="45" t="n">
        <f aca="false">軟體BOM!J10</f>
        <v>11</v>
      </c>
      <c r="M16" s="46" t="n">
        <f aca="false">軟體BOM!K10</f>
        <v>0.0832157135009766</v>
      </c>
      <c r="N16" s="6" t="s">
        <v>148</v>
      </c>
      <c r="O16" s="6" t="s">
        <v>131</v>
      </c>
    </row>
    <row r="17" customFormat="false" ht="30" hidden="false" customHeight="true" outlineLevel="0" collapsed="false">
      <c r="A17" s="5" t="s">
        <v>149</v>
      </c>
      <c r="B17" s="33" t="n">
        <v>2</v>
      </c>
      <c r="C17" s="5" t="s">
        <v>150</v>
      </c>
      <c r="D17" s="6" t="s">
        <v>151</v>
      </c>
      <c r="E17" s="5" t="s">
        <v>88</v>
      </c>
      <c r="F17" s="34" t="s">
        <v>122</v>
      </c>
      <c r="G17" s="35" t="n">
        <v>1</v>
      </c>
      <c r="H17" s="34" t="s">
        <v>129</v>
      </c>
      <c r="I17" s="36" t="n">
        <f aca="false">G17*封面!$C$17</f>
        <v>1</v>
      </c>
      <c r="J17" s="5"/>
      <c r="K17" s="5"/>
      <c r="L17" s="45" t="n">
        <f aca="false">軟體BOM!J11</f>
        <v>38</v>
      </c>
      <c r="M17" s="46" t="n">
        <f aca="false">軟體BOM!K11</f>
        <v>0.311220169067383</v>
      </c>
      <c r="N17" s="6" t="s">
        <v>152</v>
      </c>
      <c r="O17" s="6" t="s">
        <v>131</v>
      </c>
    </row>
    <row r="18" customFormat="false" ht="30" hidden="false" customHeight="true" outlineLevel="0" collapsed="false">
      <c r="A18" s="5" t="s">
        <v>153</v>
      </c>
      <c r="B18" s="33" t="n">
        <v>2</v>
      </c>
      <c r="C18" s="5" t="s">
        <v>154</v>
      </c>
      <c r="D18" s="6" t="s">
        <v>155</v>
      </c>
      <c r="E18" s="5" t="s">
        <v>156</v>
      </c>
      <c r="F18" s="34" t="s">
        <v>142</v>
      </c>
      <c r="G18" s="35" t="n">
        <v>1</v>
      </c>
      <c r="H18" s="34" t="s">
        <v>129</v>
      </c>
      <c r="I18" s="36" t="n">
        <f aca="false">G18*封面!$C$17</f>
        <v>1</v>
      </c>
      <c r="J18" s="5"/>
      <c r="K18" s="5"/>
      <c r="L18" s="45" t="n">
        <f aca="false">軟體BOM!J12</f>
        <v>1</v>
      </c>
      <c r="M18" s="46" t="n">
        <f aca="false">軟體BOM!K12</f>
        <v>10.1823081970215</v>
      </c>
      <c r="N18" s="6" t="s">
        <v>152</v>
      </c>
      <c r="O18" s="6" t="s">
        <v>143</v>
      </c>
    </row>
    <row r="19" customFormat="false" ht="30" hidden="false" customHeight="true" outlineLevel="0" collapsed="false">
      <c r="A19" s="27" t="s">
        <v>157</v>
      </c>
      <c r="B19" s="30" t="n">
        <v>1</v>
      </c>
      <c r="C19" s="27" t="s">
        <v>158</v>
      </c>
      <c r="D19" s="29" t="s">
        <v>159</v>
      </c>
      <c r="E19" s="27" t="s">
        <v>160</v>
      </c>
      <c r="F19" s="30" t="s">
        <v>122</v>
      </c>
      <c r="G19" s="39" t="n">
        <v>1</v>
      </c>
      <c r="H19" s="30" t="s">
        <v>86</v>
      </c>
      <c r="I19" s="40" t="n">
        <f aca="false">G19*封面!$C$17</f>
        <v>1</v>
      </c>
      <c r="J19" s="41"/>
      <c r="K19" s="42" t="n">
        <f aca="false">I19*J19</f>
        <v>0</v>
      </c>
      <c r="L19" s="43" t="n">
        <f aca="false">軟體BOM!J13</f>
        <v>591</v>
      </c>
      <c r="M19" s="44" t="n">
        <f aca="false">軟體BOM!K13</f>
        <v>116.814918518066</v>
      </c>
      <c r="N19" s="27" t="s">
        <v>161</v>
      </c>
      <c r="O19" s="29" t="s">
        <v>124</v>
      </c>
    </row>
    <row r="20" customFormat="false" ht="30" hidden="false" customHeight="true" outlineLevel="0" collapsed="false">
      <c r="A20" s="5" t="s">
        <v>162</v>
      </c>
      <c r="B20" s="33" t="n">
        <v>2</v>
      </c>
      <c r="C20" s="5" t="s">
        <v>163</v>
      </c>
      <c r="D20" s="6" t="s">
        <v>164</v>
      </c>
      <c r="E20" s="5" t="s">
        <v>165</v>
      </c>
      <c r="F20" s="34" t="s">
        <v>122</v>
      </c>
      <c r="G20" s="35" t="n">
        <v>1</v>
      </c>
      <c r="H20" s="34" t="s">
        <v>129</v>
      </c>
      <c r="I20" s="36" t="n">
        <f aca="false">G20*封面!$C$17</f>
        <v>1</v>
      </c>
      <c r="J20" s="5"/>
      <c r="K20" s="5"/>
      <c r="L20" s="45" t="n">
        <f aca="false">軟體BOM!J14</f>
        <v>25</v>
      </c>
      <c r="M20" s="46" t="n">
        <f aca="false">軟體BOM!K14</f>
        <v>0.0957269668579102</v>
      </c>
      <c r="N20" s="5" t="s">
        <v>166</v>
      </c>
      <c r="O20" s="6" t="s">
        <v>131</v>
      </c>
    </row>
    <row r="21" customFormat="false" ht="30" hidden="false" customHeight="true" outlineLevel="0" collapsed="false">
      <c r="A21" s="5" t="s">
        <v>167</v>
      </c>
      <c r="B21" s="33" t="n">
        <v>2</v>
      </c>
      <c r="C21" s="5" t="s">
        <v>168</v>
      </c>
      <c r="D21" s="6" t="s">
        <v>169</v>
      </c>
      <c r="E21" s="5" t="s">
        <v>165</v>
      </c>
      <c r="F21" s="34" t="s">
        <v>122</v>
      </c>
      <c r="G21" s="35" t="n">
        <v>1</v>
      </c>
      <c r="H21" s="34" t="s">
        <v>129</v>
      </c>
      <c r="I21" s="36" t="n">
        <f aca="false">G21*封面!$C$17</f>
        <v>1</v>
      </c>
      <c r="J21" s="5"/>
      <c r="K21" s="5"/>
      <c r="L21" s="45" t="n">
        <f aca="false">軟體BOM!J15</f>
        <v>20</v>
      </c>
      <c r="M21" s="46" t="n">
        <f aca="false">軟體BOM!K15</f>
        <v>0.159591674804688</v>
      </c>
      <c r="N21" s="5" t="s">
        <v>166</v>
      </c>
      <c r="O21" s="6" t="s">
        <v>131</v>
      </c>
    </row>
    <row r="22" customFormat="false" ht="30" hidden="false" customHeight="true" outlineLevel="0" collapsed="false">
      <c r="A22" s="5" t="s">
        <v>170</v>
      </c>
      <c r="B22" s="33" t="n">
        <v>2</v>
      </c>
      <c r="C22" s="5" t="s">
        <v>171</v>
      </c>
      <c r="D22" s="6" t="s">
        <v>172</v>
      </c>
      <c r="E22" s="5" t="s">
        <v>165</v>
      </c>
      <c r="F22" s="34" t="s">
        <v>122</v>
      </c>
      <c r="G22" s="35" t="n">
        <v>1</v>
      </c>
      <c r="H22" s="34" t="s">
        <v>129</v>
      </c>
      <c r="I22" s="36" t="n">
        <f aca="false">G22*封面!$C$17</f>
        <v>1</v>
      </c>
      <c r="J22" s="5"/>
      <c r="K22" s="5"/>
      <c r="L22" s="45" t="n">
        <f aca="false">軟體BOM!J16</f>
        <v>10</v>
      </c>
      <c r="M22" s="46" t="n">
        <f aca="false">軟體BOM!K16</f>
        <v>0.0818891525268555</v>
      </c>
      <c r="N22" s="5" t="s">
        <v>166</v>
      </c>
      <c r="O22" s="6" t="s">
        <v>131</v>
      </c>
    </row>
    <row r="23" customFormat="false" ht="30" hidden="false" customHeight="true" outlineLevel="0" collapsed="false">
      <c r="A23" s="5" t="s">
        <v>173</v>
      </c>
      <c r="B23" s="33" t="n">
        <v>2</v>
      </c>
      <c r="C23" s="5" t="s">
        <v>174</v>
      </c>
      <c r="D23" s="6" t="s">
        <v>175</v>
      </c>
      <c r="E23" s="5" t="s">
        <v>165</v>
      </c>
      <c r="F23" s="34" t="s">
        <v>122</v>
      </c>
      <c r="G23" s="35" t="n">
        <v>1</v>
      </c>
      <c r="H23" s="34" t="s">
        <v>129</v>
      </c>
      <c r="I23" s="36" t="n">
        <f aca="false">G23*封面!$C$17</f>
        <v>1</v>
      </c>
      <c r="J23" s="5"/>
      <c r="K23" s="5"/>
      <c r="L23" s="45" t="n">
        <f aca="false">軟體BOM!J17</f>
        <v>18</v>
      </c>
      <c r="M23" s="46" t="n">
        <f aca="false">軟體BOM!K17</f>
        <v>0.0973224639892578</v>
      </c>
      <c r="N23" s="5" t="s">
        <v>166</v>
      </c>
      <c r="O23" s="6" t="s">
        <v>131</v>
      </c>
    </row>
    <row r="24" customFormat="false" ht="30" hidden="false" customHeight="true" outlineLevel="0" collapsed="false">
      <c r="A24" s="5" t="s">
        <v>176</v>
      </c>
      <c r="B24" s="33" t="n">
        <v>2</v>
      </c>
      <c r="C24" s="5" t="s">
        <v>177</v>
      </c>
      <c r="D24" s="6" t="s">
        <v>178</v>
      </c>
      <c r="E24" s="5" t="s">
        <v>165</v>
      </c>
      <c r="F24" s="34" t="s">
        <v>122</v>
      </c>
      <c r="G24" s="35" t="n">
        <v>1</v>
      </c>
      <c r="H24" s="34" t="s">
        <v>129</v>
      </c>
      <c r="I24" s="36" t="n">
        <f aca="false">G24*封面!$C$17</f>
        <v>1</v>
      </c>
      <c r="J24" s="5"/>
      <c r="K24" s="5"/>
      <c r="L24" s="45" t="n">
        <f aca="false">軟體BOM!J18</f>
        <v>36</v>
      </c>
      <c r="M24" s="46" t="n">
        <f aca="false">軟體BOM!K18</f>
        <v>0.551413536071777</v>
      </c>
      <c r="N24" s="5" t="s">
        <v>166</v>
      </c>
      <c r="O24" s="6" t="s">
        <v>131</v>
      </c>
    </row>
    <row r="25" customFormat="false" ht="30" hidden="false" customHeight="true" outlineLevel="0" collapsed="false">
      <c r="A25" s="5" t="s">
        <v>179</v>
      </c>
      <c r="B25" s="33" t="n">
        <v>2</v>
      </c>
      <c r="C25" s="5" t="s">
        <v>180</v>
      </c>
      <c r="D25" s="6" t="s">
        <v>181</v>
      </c>
      <c r="E25" s="5" t="s">
        <v>165</v>
      </c>
      <c r="F25" s="34" t="s">
        <v>122</v>
      </c>
      <c r="G25" s="35" t="n">
        <v>1</v>
      </c>
      <c r="H25" s="34" t="s">
        <v>129</v>
      </c>
      <c r="I25" s="36" t="n">
        <f aca="false">G25*封面!$C$17</f>
        <v>1</v>
      </c>
      <c r="J25" s="5"/>
      <c r="K25" s="5"/>
      <c r="L25" s="45" t="n">
        <f aca="false">軟體BOM!J19</f>
        <v>51</v>
      </c>
      <c r="M25" s="46" t="n">
        <f aca="false">軟體BOM!K19</f>
        <v>0.196229934692383</v>
      </c>
      <c r="N25" s="5" t="s">
        <v>166</v>
      </c>
      <c r="O25" s="6" t="s">
        <v>131</v>
      </c>
    </row>
    <row r="26" customFormat="false" ht="30" hidden="false" customHeight="true" outlineLevel="0" collapsed="false">
      <c r="A26" s="5" t="s">
        <v>182</v>
      </c>
      <c r="B26" s="33" t="n">
        <v>2</v>
      </c>
      <c r="C26" s="5" t="s">
        <v>183</v>
      </c>
      <c r="D26" s="6" t="s">
        <v>184</v>
      </c>
      <c r="E26" s="5" t="s">
        <v>165</v>
      </c>
      <c r="F26" s="34" t="s">
        <v>122</v>
      </c>
      <c r="G26" s="35" t="n">
        <v>1</v>
      </c>
      <c r="H26" s="34" t="s">
        <v>129</v>
      </c>
      <c r="I26" s="36" t="n">
        <f aca="false">G26*封面!$C$17</f>
        <v>1</v>
      </c>
      <c r="J26" s="5"/>
      <c r="K26" s="5"/>
      <c r="L26" s="45" t="n">
        <f aca="false">軟體BOM!J20</f>
        <v>24</v>
      </c>
      <c r="M26" s="46" t="n">
        <f aca="false">軟體BOM!K20</f>
        <v>0.212360382080078</v>
      </c>
      <c r="N26" s="5" t="s">
        <v>166</v>
      </c>
      <c r="O26" s="6" t="s">
        <v>131</v>
      </c>
    </row>
    <row r="27" customFormat="false" ht="30" hidden="false" customHeight="true" outlineLevel="0" collapsed="false">
      <c r="A27" s="5" t="s">
        <v>185</v>
      </c>
      <c r="B27" s="33" t="n">
        <v>2</v>
      </c>
      <c r="C27" s="5" t="s">
        <v>186</v>
      </c>
      <c r="D27" s="6" t="s">
        <v>187</v>
      </c>
      <c r="E27" s="5" t="s">
        <v>165</v>
      </c>
      <c r="F27" s="34" t="s">
        <v>122</v>
      </c>
      <c r="G27" s="35" t="n">
        <v>1</v>
      </c>
      <c r="H27" s="34" t="s">
        <v>129</v>
      </c>
      <c r="I27" s="36" t="n">
        <f aca="false">G27*封面!$C$17</f>
        <v>1</v>
      </c>
      <c r="J27" s="5"/>
      <c r="K27" s="5"/>
      <c r="L27" s="45" t="n">
        <f aca="false">軟體BOM!J21</f>
        <v>17</v>
      </c>
      <c r="M27" s="46" t="n">
        <f aca="false">軟體BOM!K21</f>
        <v>0.0646181106567383</v>
      </c>
      <c r="N27" s="5" t="s">
        <v>166</v>
      </c>
      <c r="O27" s="6" t="s">
        <v>131</v>
      </c>
    </row>
    <row r="28" customFormat="false" ht="30" hidden="false" customHeight="true" outlineLevel="0" collapsed="false">
      <c r="A28" s="5" t="s">
        <v>188</v>
      </c>
      <c r="B28" s="33" t="n">
        <v>2</v>
      </c>
      <c r="C28" s="5" t="s">
        <v>189</v>
      </c>
      <c r="D28" s="6" t="s">
        <v>190</v>
      </c>
      <c r="E28" s="5" t="s">
        <v>165</v>
      </c>
      <c r="F28" s="34" t="s">
        <v>122</v>
      </c>
      <c r="G28" s="35" t="n">
        <v>1</v>
      </c>
      <c r="H28" s="34" t="s">
        <v>129</v>
      </c>
      <c r="I28" s="36" t="n">
        <f aca="false">G28*封面!$C$17</f>
        <v>1</v>
      </c>
      <c r="J28" s="5"/>
      <c r="K28" s="5"/>
      <c r="L28" s="45" t="n">
        <f aca="false">軟體BOM!J22</f>
        <v>4</v>
      </c>
      <c r="M28" s="46" t="n">
        <f aca="false">軟體BOM!K22</f>
        <v>0.0189552307128906</v>
      </c>
      <c r="N28" s="5" t="s">
        <v>166</v>
      </c>
      <c r="O28" s="6" t="s">
        <v>131</v>
      </c>
    </row>
    <row r="29" customFormat="false" ht="30" hidden="false" customHeight="true" outlineLevel="0" collapsed="false">
      <c r="A29" s="5" t="s">
        <v>191</v>
      </c>
      <c r="B29" s="33" t="n">
        <v>2</v>
      </c>
      <c r="C29" s="5" t="s">
        <v>192</v>
      </c>
      <c r="D29" s="6" t="s">
        <v>193</v>
      </c>
      <c r="E29" s="5" t="s">
        <v>165</v>
      </c>
      <c r="F29" s="34" t="s">
        <v>122</v>
      </c>
      <c r="G29" s="35" t="n">
        <v>1</v>
      </c>
      <c r="H29" s="34" t="s">
        <v>129</v>
      </c>
      <c r="I29" s="36" t="n">
        <f aca="false">G29*封面!$C$17</f>
        <v>1</v>
      </c>
      <c r="J29" s="5"/>
      <c r="K29" s="5"/>
      <c r="L29" s="45" t="n">
        <f aca="false">軟體BOM!J23</f>
        <v>29</v>
      </c>
      <c r="M29" s="46" t="n">
        <f aca="false">軟體BOM!K23</f>
        <v>0.166141510009766</v>
      </c>
      <c r="N29" s="5" t="s">
        <v>166</v>
      </c>
      <c r="O29" s="6" t="s">
        <v>131</v>
      </c>
    </row>
    <row r="30" customFormat="false" ht="30" hidden="false" customHeight="true" outlineLevel="0" collapsed="false">
      <c r="A30" s="5" t="s">
        <v>194</v>
      </c>
      <c r="B30" s="33" t="n">
        <v>2</v>
      </c>
      <c r="C30" s="5" t="s">
        <v>195</v>
      </c>
      <c r="D30" s="6" t="s">
        <v>196</v>
      </c>
      <c r="E30" s="5" t="s">
        <v>165</v>
      </c>
      <c r="F30" s="34" t="s">
        <v>122</v>
      </c>
      <c r="G30" s="35" t="n">
        <v>1</v>
      </c>
      <c r="H30" s="34" t="s">
        <v>129</v>
      </c>
      <c r="I30" s="36" t="n">
        <f aca="false">G30*封面!$C$17</f>
        <v>1</v>
      </c>
      <c r="J30" s="5"/>
      <c r="K30" s="5"/>
      <c r="L30" s="45" t="n">
        <f aca="false">軟體BOM!J24</f>
        <v>15</v>
      </c>
      <c r="M30" s="46" t="n">
        <f aca="false">軟體BOM!K24</f>
        <v>0.10832691192627</v>
      </c>
      <c r="N30" s="5" t="s">
        <v>166</v>
      </c>
      <c r="O30" s="6" t="s">
        <v>131</v>
      </c>
    </row>
    <row r="31" customFormat="false" ht="30" hidden="false" customHeight="true" outlineLevel="0" collapsed="false">
      <c r="A31" s="5" t="s">
        <v>197</v>
      </c>
      <c r="B31" s="33" t="n">
        <v>2</v>
      </c>
      <c r="C31" s="5" t="s">
        <v>198</v>
      </c>
      <c r="D31" s="6" t="s">
        <v>199</v>
      </c>
      <c r="E31" s="5" t="s">
        <v>165</v>
      </c>
      <c r="F31" s="34" t="s">
        <v>122</v>
      </c>
      <c r="G31" s="35" t="n">
        <v>1</v>
      </c>
      <c r="H31" s="34" t="s">
        <v>129</v>
      </c>
      <c r="I31" s="36" t="n">
        <f aca="false">G31*封面!$C$17</f>
        <v>1</v>
      </c>
      <c r="J31" s="5"/>
      <c r="K31" s="5"/>
      <c r="L31" s="45" t="n">
        <f aca="false">軟體BOM!J25</f>
        <v>30</v>
      </c>
      <c r="M31" s="46" t="n">
        <f aca="false">軟體BOM!K25</f>
        <v>0.313867568969727</v>
      </c>
      <c r="N31" s="5" t="s">
        <v>166</v>
      </c>
      <c r="O31" s="6" t="s">
        <v>131</v>
      </c>
    </row>
    <row r="32" customFormat="false" ht="30" hidden="false" customHeight="true" outlineLevel="0" collapsed="false">
      <c r="A32" s="5" t="s">
        <v>200</v>
      </c>
      <c r="B32" s="33" t="n">
        <v>2</v>
      </c>
      <c r="C32" s="5" t="s">
        <v>201</v>
      </c>
      <c r="D32" s="6" t="s">
        <v>202</v>
      </c>
      <c r="E32" s="5" t="s">
        <v>165</v>
      </c>
      <c r="F32" s="34" t="s">
        <v>122</v>
      </c>
      <c r="G32" s="35" t="n">
        <v>1</v>
      </c>
      <c r="H32" s="34" t="s">
        <v>129</v>
      </c>
      <c r="I32" s="36" t="n">
        <f aca="false">G32*封面!$C$17</f>
        <v>1</v>
      </c>
      <c r="J32" s="5"/>
      <c r="K32" s="5"/>
      <c r="L32" s="45" t="n">
        <f aca="false">軟體BOM!J26</f>
        <v>27</v>
      </c>
      <c r="M32" s="46" t="n">
        <f aca="false">軟體BOM!K26</f>
        <v>38.6605796813965</v>
      </c>
      <c r="N32" s="5" t="s">
        <v>166</v>
      </c>
      <c r="O32" s="6" t="s">
        <v>131</v>
      </c>
    </row>
    <row r="33" customFormat="false" ht="30" hidden="false" customHeight="true" outlineLevel="0" collapsed="false">
      <c r="A33" s="5" t="s">
        <v>203</v>
      </c>
      <c r="B33" s="33" t="n">
        <v>2</v>
      </c>
      <c r="C33" s="5" t="s">
        <v>204</v>
      </c>
      <c r="D33" s="6" t="s">
        <v>205</v>
      </c>
      <c r="E33" s="5" t="s">
        <v>165</v>
      </c>
      <c r="F33" s="34" t="s">
        <v>122</v>
      </c>
      <c r="G33" s="35" t="n">
        <v>1</v>
      </c>
      <c r="H33" s="34" t="s">
        <v>129</v>
      </c>
      <c r="I33" s="36" t="n">
        <f aca="false">G33*封面!$C$17</f>
        <v>1</v>
      </c>
      <c r="J33" s="5"/>
      <c r="K33" s="5"/>
      <c r="L33" s="45" t="n">
        <f aca="false">軟體BOM!J27</f>
        <v>35</v>
      </c>
      <c r="M33" s="46" t="n">
        <f aca="false">軟體BOM!K27</f>
        <v>1.30772972106934</v>
      </c>
      <c r="N33" s="5" t="s">
        <v>166</v>
      </c>
      <c r="O33" s="6" t="s">
        <v>131</v>
      </c>
    </row>
    <row r="34" customFormat="false" ht="30" hidden="false" customHeight="true" outlineLevel="0" collapsed="false">
      <c r="A34" s="5" t="s">
        <v>206</v>
      </c>
      <c r="B34" s="33" t="n">
        <v>2</v>
      </c>
      <c r="C34" s="5" t="s">
        <v>207</v>
      </c>
      <c r="D34" s="6" t="s">
        <v>208</v>
      </c>
      <c r="E34" s="5" t="s">
        <v>165</v>
      </c>
      <c r="F34" s="34" t="s">
        <v>122</v>
      </c>
      <c r="G34" s="35" t="n">
        <v>1</v>
      </c>
      <c r="H34" s="34" t="s">
        <v>129</v>
      </c>
      <c r="I34" s="36" t="n">
        <f aca="false">G34*封面!$C$17</f>
        <v>1</v>
      </c>
      <c r="J34" s="5"/>
      <c r="K34" s="5"/>
      <c r="L34" s="45" t="n">
        <f aca="false">軟體BOM!J28</f>
        <v>104</v>
      </c>
      <c r="M34" s="46" t="n">
        <f aca="false">軟體BOM!K28</f>
        <v>10.6276321411133</v>
      </c>
      <c r="N34" s="5" t="s">
        <v>166</v>
      </c>
      <c r="O34" s="6" t="s">
        <v>131</v>
      </c>
    </row>
    <row r="35" customFormat="false" ht="30" hidden="false" customHeight="true" outlineLevel="0" collapsed="false">
      <c r="A35" s="5" t="s">
        <v>209</v>
      </c>
      <c r="B35" s="33" t="n">
        <v>2</v>
      </c>
      <c r="C35" s="5" t="s">
        <v>210</v>
      </c>
      <c r="D35" s="6" t="s">
        <v>211</v>
      </c>
      <c r="E35" s="5" t="s">
        <v>165</v>
      </c>
      <c r="F35" s="34" t="s">
        <v>122</v>
      </c>
      <c r="G35" s="35" t="n">
        <v>1</v>
      </c>
      <c r="H35" s="34" t="s">
        <v>129</v>
      </c>
      <c r="I35" s="36" t="n">
        <f aca="false">G35*封面!$C$17</f>
        <v>1</v>
      </c>
      <c r="J35" s="5"/>
      <c r="K35" s="5"/>
      <c r="L35" s="45" t="n">
        <f aca="false">軟體BOM!J29</f>
        <v>62</v>
      </c>
      <c r="M35" s="46" t="n">
        <f aca="false">軟體BOM!K29</f>
        <v>6.42991256713867</v>
      </c>
      <c r="N35" s="5" t="s">
        <v>166</v>
      </c>
      <c r="O35" s="6" t="s">
        <v>131</v>
      </c>
    </row>
    <row r="36" customFormat="false" ht="30" hidden="false" customHeight="true" outlineLevel="0" collapsed="false">
      <c r="A36" s="5" t="s">
        <v>212</v>
      </c>
      <c r="B36" s="33" t="n">
        <v>2</v>
      </c>
      <c r="C36" s="5" t="s">
        <v>213</v>
      </c>
      <c r="D36" s="6" t="s">
        <v>214</v>
      </c>
      <c r="E36" s="5" t="s">
        <v>165</v>
      </c>
      <c r="F36" s="34" t="s">
        <v>122</v>
      </c>
      <c r="G36" s="35" t="n">
        <v>1</v>
      </c>
      <c r="H36" s="34" t="s">
        <v>129</v>
      </c>
      <c r="I36" s="36" t="n">
        <f aca="false">G36*封面!$C$17</f>
        <v>1</v>
      </c>
      <c r="J36" s="5"/>
      <c r="K36" s="5"/>
      <c r="L36" s="45" t="n">
        <f aca="false">軟體BOM!J30</f>
        <v>37</v>
      </c>
      <c r="M36" s="46" t="n">
        <f aca="false">軟體BOM!K30</f>
        <v>1.07402992248535</v>
      </c>
      <c r="N36" s="5" t="s">
        <v>166</v>
      </c>
      <c r="O36" s="6" t="s">
        <v>131</v>
      </c>
    </row>
    <row r="37" customFormat="false" ht="30" hidden="false" customHeight="true" outlineLevel="0" collapsed="false">
      <c r="A37" s="5" t="s">
        <v>215</v>
      </c>
      <c r="B37" s="33" t="n">
        <v>2</v>
      </c>
      <c r="C37" s="5" t="s">
        <v>216</v>
      </c>
      <c r="D37" s="6" t="s">
        <v>217</v>
      </c>
      <c r="E37" s="5" t="s">
        <v>165</v>
      </c>
      <c r="F37" s="34" t="s">
        <v>122</v>
      </c>
      <c r="G37" s="35" t="n">
        <v>1</v>
      </c>
      <c r="H37" s="34" t="s">
        <v>129</v>
      </c>
      <c r="I37" s="36" t="n">
        <f aca="false">G37*封面!$C$17</f>
        <v>1</v>
      </c>
      <c r="J37" s="5"/>
      <c r="K37" s="5"/>
      <c r="L37" s="45" t="n">
        <f aca="false">軟體BOM!J31</f>
        <v>27</v>
      </c>
      <c r="M37" s="46" t="n">
        <f aca="false">軟體BOM!K31</f>
        <v>54.9805335998535</v>
      </c>
      <c r="N37" s="5" t="s">
        <v>166</v>
      </c>
      <c r="O37" s="6" t="s">
        <v>131</v>
      </c>
    </row>
    <row r="38" customFormat="false" ht="30" hidden="false" customHeight="true" outlineLevel="0" collapsed="false">
      <c r="A38" s="5" t="s">
        <v>218</v>
      </c>
      <c r="B38" s="33" t="n">
        <v>2</v>
      </c>
      <c r="C38" s="5" t="s">
        <v>219</v>
      </c>
      <c r="D38" s="6" t="s">
        <v>220</v>
      </c>
      <c r="E38" s="5" t="s">
        <v>165</v>
      </c>
      <c r="F38" s="34" t="s">
        <v>122</v>
      </c>
      <c r="G38" s="35" t="n">
        <v>1</v>
      </c>
      <c r="H38" s="34" t="s">
        <v>129</v>
      </c>
      <c r="I38" s="36" t="n">
        <f aca="false">G38*封面!$C$17</f>
        <v>1</v>
      </c>
      <c r="J38" s="5"/>
      <c r="K38" s="5"/>
      <c r="L38" s="45" t="n">
        <f aca="false">軟體BOM!J32</f>
        <v>2</v>
      </c>
      <c r="M38" s="46" t="n">
        <f aca="false">軟體BOM!K32</f>
        <v>0.835421562194824</v>
      </c>
      <c r="N38" s="5" t="s">
        <v>166</v>
      </c>
      <c r="O38" s="6" t="s">
        <v>131</v>
      </c>
    </row>
    <row r="39" customFormat="false" ht="30" hidden="false" customHeight="true" outlineLevel="0" collapsed="false">
      <c r="A39" s="5" t="s">
        <v>221</v>
      </c>
      <c r="B39" s="33" t="n">
        <v>2</v>
      </c>
      <c r="C39" s="5" t="s">
        <v>222</v>
      </c>
      <c r="D39" s="6" t="s">
        <v>223</v>
      </c>
      <c r="E39" s="5" t="s">
        <v>165</v>
      </c>
      <c r="F39" s="34" t="s">
        <v>122</v>
      </c>
      <c r="G39" s="35" t="n">
        <v>1</v>
      </c>
      <c r="H39" s="34" t="s">
        <v>129</v>
      </c>
      <c r="I39" s="36" t="n">
        <f aca="false">G39*封面!$C$17</f>
        <v>1</v>
      </c>
      <c r="J39" s="5"/>
      <c r="K39" s="5"/>
      <c r="L39" s="45" t="n">
        <f aca="false">軟體BOM!J33</f>
        <v>4</v>
      </c>
      <c r="M39" s="46" t="n">
        <f aca="false">軟體BOM!K33</f>
        <v>0.00886249542236328</v>
      </c>
      <c r="N39" s="5" t="s">
        <v>166</v>
      </c>
      <c r="O39" s="6" t="s">
        <v>131</v>
      </c>
    </row>
    <row r="40" customFormat="false" ht="30" hidden="false" customHeight="true" outlineLevel="0" collapsed="false">
      <c r="A40" s="5" t="s">
        <v>224</v>
      </c>
      <c r="B40" s="33" t="n">
        <v>2</v>
      </c>
      <c r="C40" s="5" t="s">
        <v>225</v>
      </c>
      <c r="D40" s="6" t="s">
        <v>226</v>
      </c>
      <c r="E40" s="5" t="s">
        <v>165</v>
      </c>
      <c r="F40" s="34" t="s">
        <v>122</v>
      </c>
      <c r="G40" s="35" t="n">
        <v>1</v>
      </c>
      <c r="H40" s="34" t="s">
        <v>129</v>
      </c>
      <c r="I40" s="36" t="n">
        <f aca="false">G40*封面!$C$17</f>
        <v>1</v>
      </c>
      <c r="J40" s="5"/>
      <c r="K40" s="5"/>
      <c r="L40" s="45" t="n">
        <f aca="false">軟體BOM!J34</f>
        <v>9</v>
      </c>
      <c r="M40" s="46" t="n">
        <f aca="false">軟體BOM!K34</f>
        <v>0.656272888183594</v>
      </c>
      <c r="N40" s="5" t="s">
        <v>166</v>
      </c>
      <c r="O40" s="6" t="s">
        <v>131</v>
      </c>
    </row>
    <row r="41" customFormat="false" ht="30" hidden="false" customHeight="true" outlineLevel="0" collapsed="false">
      <c r="A41" s="5" t="s">
        <v>227</v>
      </c>
      <c r="B41" s="33" t="n">
        <v>2</v>
      </c>
      <c r="C41" s="5" t="s">
        <v>228</v>
      </c>
      <c r="D41" s="6" t="s">
        <v>229</v>
      </c>
      <c r="E41" s="5" t="s">
        <v>165</v>
      </c>
      <c r="F41" s="34" t="s">
        <v>122</v>
      </c>
      <c r="G41" s="35" t="n">
        <v>1</v>
      </c>
      <c r="H41" s="34" t="s">
        <v>129</v>
      </c>
      <c r="I41" s="36" t="n">
        <f aca="false">G41*封面!$C$17</f>
        <v>1</v>
      </c>
      <c r="J41" s="5"/>
      <c r="K41" s="5"/>
      <c r="L41" s="45" t="n">
        <f aca="false">軟體BOM!J35</f>
        <v>5</v>
      </c>
      <c r="M41" s="46" t="n">
        <f aca="false">軟體BOM!K35</f>
        <v>0.167500495910645</v>
      </c>
      <c r="N41" s="6" t="s">
        <v>148</v>
      </c>
      <c r="O41" s="6" t="s">
        <v>131</v>
      </c>
    </row>
    <row r="42" customFormat="false" ht="30" hidden="false" customHeight="true" outlineLevel="0" collapsed="false">
      <c r="A42" s="27" t="s">
        <v>230</v>
      </c>
      <c r="B42" s="30" t="n">
        <v>1</v>
      </c>
      <c r="C42" s="27" t="s">
        <v>231</v>
      </c>
      <c r="D42" s="29" t="s">
        <v>232</v>
      </c>
      <c r="E42" s="27" t="s">
        <v>88</v>
      </c>
      <c r="F42" s="30" t="s">
        <v>122</v>
      </c>
      <c r="G42" s="39" t="n">
        <v>1</v>
      </c>
      <c r="H42" s="30" t="s">
        <v>86</v>
      </c>
      <c r="I42" s="40" t="n">
        <f aca="false">G42*封面!$C$17</f>
        <v>1</v>
      </c>
      <c r="J42" s="29"/>
      <c r="K42" s="29"/>
      <c r="L42" s="43" t="n">
        <f aca="false">軟體BOM!J36</f>
        <v>352</v>
      </c>
      <c r="M42" s="44" t="n">
        <f aca="false">軟體BOM!K36</f>
        <v>148.883664131165</v>
      </c>
      <c r="N42" s="29" t="s">
        <v>152</v>
      </c>
      <c r="O42" s="29" t="s">
        <v>124</v>
      </c>
    </row>
    <row r="43" customFormat="false" ht="30" hidden="false" customHeight="true" outlineLevel="0" collapsed="false">
      <c r="A43" s="5" t="s">
        <v>233</v>
      </c>
      <c r="B43" s="33" t="n">
        <v>2</v>
      </c>
      <c r="C43" s="5" t="s">
        <v>234</v>
      </c>
      <c r="D43" s="6" t="s">
        <v>235</v>
      </c>
      <c r="E43" s="5" t="s">
        <v>88</v>
      </c>
      <c r="F43" s="34" t="s">
        <v>122</v>
      </c>
      <c r="G43" s="35" t="n">
        <v>1</v>
      </c>
      <c r="H43" s="34" t="s">
        <v>129</v>
      </c>
      <c r="I43" s="36" t="n">
        <f aca="false">G43*封面!$C$17</f>
        <v>1</v>
      </c>
      <c r="J43" s="5"/>
      <c r="K43" s="5"/>
      <c r="L43" s="45" t="n">
        <f aca="false">軟體BOM!J37</f>
        <v>115</v>
      </c>
      <c r="M43" s="46" t="n">
        <f aca="false">軟體BOM!K37</f>
        <v>1.52920436859131</v>
      </c>
      <c r="N43" s="6" t="s">
        <v>152</v>
      </c>
      <c r="O43" s="6" t="s">
        <v>131</v>
      </c>
    </row>
    <row r="44" customFormat="false" ht="30" hidden="false" customHeight="true" outlineLevel="0" collapsed="false">
      <c r="A44" s="5" t="s">
        <v>236</v>
      </c>
      <c r="B44" s="33" t="n">
        <v>2</v>
      </c>
      <c r="C44" s="5" t="s">
        <v>237</v>
      </c>
      <c r="D44" s="6" t="s">
        <v>238</v>
      </c>
      <c r="E44" s="5" t="s">
        <v>88</v>
      </c>
      <c r="F44" s="34" t="s">
        <v>122</v>
      </c>
      <c r="G44" s="35" t="n">
        <v>1</v>
      </c>
      <c r="H44" s="34" t="s">
        <v>129</v>
      </c>
      <c r="I44" s="36" t="n">
        <f aca="false">G44*封面!$C$17</f>
        <v>1</v>
      </c>
      <c r="J44" s="5"/>
      <c r="K44" s="5"/>
      <c r="L44" s="45" t="n">
        <f aca="false">軟體BOM!J38</f>
        <v>24</v>
      </c>
      <c r="M44" s="46" t="n">
        <f aca="false">軟體BOM!K38</f>
        <v>30.3062114715576</v>
      </c>
      <c r="N44" s="6" t="s">
        <v>152</v>
      </c>
      <c r="O44" s="6" t="s">
        <v>131</v>
      </c>
    </row>
    <row r="45" customFormat="false" ht="30" hidden="false" customHeight="true" outlineLevel="0" collapsed="false">
      <c r="A45" s="5" t="s">
        <v>239</v>
      </c>
      <c r="B45" s="33" t="n">
        <v>2</v>
      </c>
      <c r="C45" s="5" t="s">
        <v>240</v>
      </c>
      <c r="D45" s="6" t="s">
        <v>241</v>
      </c>
      <c r="E45" s="5" t="s">
        <v>88</v>
      </c>
      <c r="F45" s="34" t="s">
        <v>122</v>
      </c>
      <c r="G45" s="35" t="n">
        <v>1</v>
      </c>
      <c r="H45" s="34" t="s">
        <v>129</v>
      </c>
      <c r="I45" s="36" t="n">
        <f aca="false">G45*封面!$C$17</f>
        <v>1</v>
      </c>
      <c r="J45" s="5"/>
      <c r="K45" s="5"/>
      <c r="L45" s="45" t="n">
        <f aca="false">軟體BOM!J39</f>
        <v>3</v>
      </c>
      <c r="M45" s="46" t="n">
        <f aca="false">軟體BOM!K39</f>
        <v>0.0602807998657227</v>
      </c>
      <c r="N45" s="6" t="s">
        <v>152</v>
      </c>
      <c r="O45" s="6" t="s">
        <v>131</v>
      </c>
    </row>
    <row r="46" customFormat="false" ht="30" hidden="false" customHeight="true" outlineLevel="0" collapsed="false">
      <c r="A46" s="5" t="s">
        <v>242</v>
      </c>
      <c r="B46" s="33" t="n">
        <v>2</v>
      </c>
      <c r="C46" s="5" t="s">
        <v>243</v>
      </c>
      <c r="D46" s="6" t="s">
        <v>244</v>
      </c>
      <c r="E46" s="5" t="s">
        <v>245</v>
      </c>
      <c r="F46" s="34" t="s">
        <v>122</v>
      </c>
      <c r="G46" s="35" t="n">
        <v>1</v>
      </c>
      <c r="H46" s="34" t="s">
        <v>129</v>
      </c>
      <c r="I46" s="36" t="n">
        <f aca="false">G46*封面!$C$17</f>
        <v>1</v>
      </c>
      <c r="J46" s="5"/>
      <c r="K46" s="5"/>
      <c r="L46" s="45" t="n">
        <f aca="false">軟體BOM!J40</f>
        <v>31</v>
      </c>
      <c r="M46" s="46" t="n">
        <f aca="false">軟體BOM!K40</f>
        <v>0.0168876647949219</v>
      </c>
      <c r="N46" s="6" t="s">
        <v>246</v>
      </c>
      <c r="O46" s="6" t="s">
        <v>131</v>
      </c>
    </row>
    <row r="47" customFormat="false" ht="30" hidden="false" customHeight="true" outlineLevel="0" collapsed="false">
      <c r="A47" s="5" t="s">
        <v>247</v>
      </c>
      <c r="B47" s="33" t="n">
        <v>2</v>
      </c>
      <c r="C47" s="5" t="s">
        <v>248</v>
      </c>
      <c r="D47" s="6" t="s">
        <v>249</v>
      </c>
      <c r="E47" s="5" t="s">
        <v>165</v>
      </c>
      <c r="F47" s="34" t="s">
        <v>122</v>
      </c>
      <c r="G47" s="35" t="n">
        <v>1</v>
      </c>
      <c r="H47" s="34" t="s">
        <v>129</v>
      </c>
      <c r="I47" s="36" t="n">
        <f aca="false">G47*封面!$C$17</f>
        <v>1</v>
      </c>
      <c r="J47" s="5"/>
      <c r="K47" s="5"/>
      <c r="L47" s="45" t="n">
        <f aca="false">軟體BOM!J41</f>
        <v>179</v>
      </c>
      <c r="M47" s="46" t="n">
        <f aca="false">軟體BOM!K41</f>
        <v>116.971079826355</v>
      </c>
      <c r="N47" s="6" t="s">
        <v>250</v>
      </c>
      <c r="O47" s="6" t="s">
        <v>131</v>
      </c>
    </row>
    <row r="48" customFormat="false" ht="30" hidden="false" customHeight="true" outlineLevel="0" collapsed="false">
      <c r="A48" s="27" t="s">
        <v>251</v>
      </c>
      <c r="B48" s="30" t="n">
        <v>1</v>
      </c>
      <c r="C48" s="27" t="s">
        <v>252</v>
      </c>
      <c r="D48" s="29" t="s">
        <v>253</v>
      </c>
      <c r="E48" s="27" t="s">
        <v>88</v>
      </c>
      <c r="F48" s="30" t="s">
        <v>254</v>
      </c>
      <c r="G48" s="39" t="n">
        <v>1</v>
      </c>
      <c r="H48" s="30" t="s">
        <v>86</v>
      </c>
      <c r="I48" s="40" t="n">
        <f aca="false">G48*封面!$C$17</f>
        <v>1</v>
      </c>
      <c r="J48" s="29"/>
      <c r="K48" s="29"/>
      <c r="L48" s="43" t="n">
        <f aca="false">軟體BOM!J42</f>
        <v>278</v>
      </c>
      <c r="M48" s="44" t="n">
        <f aca="false">軟體BOM!K42</f>
        <v>23.2172985076904</v>
      </c>
      <c r="N48" s="29" t="s">
        <v>254</v>
      </c>
      <c r="O48" s="29" t="s">
        <v>124</v>
      </c>
    </row>
    <row r="49" customFormat="false" ht="30" hidden="false" customHeight="true" outlineLevel="0" collapsed="false">
      <c r="A49" s="5" t="s">
        <v>255</v>
      </c>
      <c r="B49" s="33" t="n">
        <v>2</v>
      </c>
      <c r="C49" s="5" t="s">
        <v>256</v>
      </c>
      <c r="D49" s="6" t="s">
        <v>257</v>
      </c>
      <c r="E49" s="5" t="s">
        <v>88</v>
      </c>
      <c r="F49" s="34" t="s">
        <v>254</v>
      </c>
      <c r="G49" s="35" t="n">
        <v>1</v>
      </c>
      <c r="H49" s="34" t="s">
        <v>129</v>
      </c>
      <c r="I49" s="36" t="n">
        <f aca="false">G49*封面!$C$17</f>
        <v>1</v>
      </c>
      <c r="J49" s="5"/>
      <c r="K49" s="5"/>
      <c r="L49" s="45" t="n">
        <f aca="false">軟體BOM!J43</f>
        <v>2</v>
      </c>
      <c r="M49" s="46" t="n">
        <f aca="false">軟體BOM!K43</f>
        <v>0.308287620544434</v>
      </c>
      <c r="N49" s="6" t="s">
        <v>254</v>
      </c>
      <c r="O49" s="6" t="s">
        <v>131</v>
      </c>
    </row>
    <row r="50" customFormat="false" ht="30" hidden="false" customHeight="true" outlineLevel="0" collapsed="false">
      <c r="A50" s="5" t="s">
        <v>258</v>
      </c>
      <c r="B50" s="33" t="n">
        <v>2</v>
      </c>
      <c r="C50" s="5" t="s">
        <v>259</v>
      </c>
      <c r="D50" s="6" t="s">
        <v>260</v>
      </c>
      <c r="E50" s="5" t="s">
        <v>88</v>
      </c>
      <c r="F50" s="34" t="s">
        <v>254</v>
      </c>
      <c r="G50" s="35" t="n">
        <v>1</v>
      </c>
      <c r="H50" s="34" t="s">
        <v>129</v>
      </c>
      <c r="I50" s="36" t="n">
        <f aca="false">G50*封面!$C$17</f>
        <v>1</v>
      </c>
      <c r="J50" s="5"/>
      <c r="K50" s="5"/>
      <c r="L50" s="45" t="n">
        <f aca="false">軟體BOM!J44</f>
        <v>36</v>
      </c>
      <c r="M50" s="46" t="n">
        <f aca="false">軟體BOM!K44</f>
        <v>0.425163269042969</v>
      </c>
      <c r="N50" s="6" t="s">
        <v>254</v>
      </c>
      <c r="O50" s="6" t="s">
        <v>131</v>
      </c>
    </row>
    <row r="51" customFormat="false" ht="30" hidden="false" customHeight="true" outlineLevel="0" collapsed="false">
      <c r="A51" s="5" t="s">
        <v>261</v>
      </c>
      <c r="B51" s="33" t="n">
        <v>2</v>
      </c>
      <c r="C51" s="5" t="s">
        <v>262</v>
      </c>
      <c r="D51" s="6" t="s">
        <v>263</v>
      </c>
      <c r="E51" s="5" t="s">
        <v>88</v>
      </c>
      <c r="F51" s="34" t="s">
        <v>254</v>
      </c>
      <c r="G51" s="35" t="n">
        <v>1</v>
      </c>
      <c r="H51" s="34" t="s">
        <v>129</v>
      </c>
      <c r="I51" s="36" t="n">
        <f aca="false">G51*封面!$C$17</f>
        <v>1</v>
      </c>
      <c r="J51" s="5"/>
      <c r="K51" s="5"/>
      <c r="L51" s="45" t="n">
        <f aca="false">軟體BOM!J45</f>
        <v>11</v>
      </c>
      <c r="M51" s="46" t="n">
        <f aca="false">軟體BOM!K45</f>
        <v>0.485001564025879</v>
      </c>
      <c r="N51" s="6" t="s">
        <v>254</v>
      </c>
      <c r="O51" s="6" t="s">
        <v>131</v>
      </c>
    </row>
    <row r="52" customFormat="false" ht="30" hidden="false" customHeight="true" outlineLevel="0" collapsed="false">
      <c r="A52" s="5" t="s">
        <v>264</v>
      </c>
      <c r="B52" s="33" t="n">
        <v>2</v>
      </c>
      <c r="C52" s="5" t="s">
        <v>265</v>
      </c>
      <c r="D52" s="6" t="s">
        <v>266</v>
      </c>
      <c r="E52" s="5" t="s">
        <v>88</v>
      </c>
      <c r="F52" s="34" t="s">
        <v>254</v>
      </c>
      <c r="G52" s="35" t="n">
        <v>1</v>
      </c>
      <c r="H52" s="34" t="s">
        <v>129</v>
      </c>
      <c r="I52" s="36" t="n">
        <f aca="false">G52*封面!$C$17</f>
        <v>1</v>
      </c>
      <c r="J52" s="5"/>
      <c r="K52" s="5"/>
      <c r="L52" s="45" t="n">
        <f aca="false">軟體BOM!J46</f>
        <v>229</v>
      </c>
      <c r="M52" s="46" t="n">
        <f aca="false">軟體BOM!K46</f>
        <v>21.9988460540772</v>
      </c>
      <c r="N52" s="6" t="s">
        <v>254</v>
      </c>
      <c r="O52" s="6" t="s">
        <v>131</v>
      </c>
    </row>
    <row r="53" customFormat="false" ht="30" hidden="false" customHeight="true" outlineLevel="0" collapsed="false">
      <c r="A53" s="47"/>
      <c r="B53" s="47"/>
      <c r="C53" s="47"/>
      <c r="D53" s="48" t="s">
        <v>267</v>
      </c>
      <c r="E53" s="47"/>
      <c r="F53" s="47"/>
      <c r="G53" s="47"/>
      <c r="H53" s="47"/>
      <c r="I53" s="47"/>
      <c r="J53" s="47"/>
      <c r="K53" s="49" t="n">
        <f aca="false">K7+K8+K9+K10+K11+K19</f>
        <v>0</v>
      </c>
      <c r="L53" s="50" t="n">
        <f aca="false">軟體BOM!J47</f>
        <v>1330</v>
      </c>
      <c r="M53" s="51" t="n">
        <f aca="false">軟體BOM!K47</f>
        <v>307.496582984924</v>
      </c>
      <c r="N53" s="47"/>
      <c r="O53" s="47"/>
    </row>
    <row r="55" customFormat="false" ht="15" hidden="false" customHeight="false" outlineLevel="0" collapsed="false">
      <c r="D55" s="10" t="s">
        <v>268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60"/>
    <col collapsed="false" customWidth="true" hidden="false" outlineLevel="0" max="8" min="8" style="0" width="8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40"/>
    <col collapsed="false" customWidth="true" hidden="false" outlineLevel="0" max="14" min="14" style="0" width="30"/>
  </cols>
  <sheetData>
    <row r="1" customFormat="false" ht="21.6" hidden="false" customHeight="false" outlineLevel="0" collapsed="false">
      <c r="A1" s="52" t="s">
        <v>269</v>
      </c>
    </row>
    <row r="2" customFormat="false" ht="15" hidden="false" customHeight="false" outlineLevel="0" collapsed="false">
      <c r="A2" s="10" t="s">
        <v>270</v>
      </c>
    </row>
    <row r="4" customFormat="false" ht="30" hidden="false" customHeight="true" outlineLevel="0" collapsed="false">
      <c r="A4" s="17" t="s">
        <v>66</v>
      </c>
      <c r="B4" s="17" t="s">
        <v>68</v>
      </c>
      <c r="C4" s="17" t="s">
        <v>69</v>
      </c>
      <c r="D4" s="17" t="s">
        <v>271</v>
      </c>
      <c r="E4" s="17" t="s">
        <v>272</v>
      </c>
      <c r="F4" s="17" t="s">
        <v>273</v>
      </c>
      <c r="G4" s="17" t="s">
        <v>274</v>
      </c>
      <c r="H4" s="17" t="s">
        <v>72</v>
      </c>
      <c r="I4" s="17" t="s">
        <v>73</v>
      </c>
      <c r="J4" s="17" t="s">
        <v>74</v>
      </c>
      <c r="K4" s="17" t="s">
        <v>75</v>
      </c>
      <c r="L4" s="17" t="s">
        <v>76</v>
      </c>
      <c r="M4" s="17" t="s">
        <v>275</v>
      </c>
      <c r="N4" s="17" t="s">
        <v>276</v>
      </c>
    </row>
    <row r="5" customFormat="false" ht="150" hidden="false" customHeight="true" outlineLevel="0" collapsed="false">
      <c r="A5" s="33" t="n">
        <v>1</v>
      </c>
      <c r="B5" s="7" t="s">
        <v>96</v>
      </c>
      <c r="C5" s="4" t="s">
        <v>277</v>
      </c>
      <c r="D5" s="6" t="s">
        <v>100</v>
      </c>
      <c r="E5" s="53" t="s">
        <v>278</v>
      </c>
      <c r="F5" s="6" t="s">
        <v>279</v>
      </c>
      <c r="G5" s="6" t="s">
        <v>280</v>
      </c>
      <c r="H5" s="35" t="n">
        <v>1</v>
      </c>
      <c r="I5" s="34" t="s">
        <v>99</v>
      </c>
      <c r="J5" s="36" t="n">
        <f aca="false">H5*封面!$C$17</f>
        <v>1</v>
      </c>
      <c r="K5" s="54"/>
      <c r="L5" s="38" t="n">
        <f aca="false">J5*K5</f>
        <v>0</v>
      </c>
      <c r="M5" s="55" t="s">
        <v>281</v>
      </c>
      <c r="N5" s="56" t="s">
        <v>282</v>
      </c>
    </row>
    <row r="6" customFormat="false" ht="75" hidden="false" customHeight="true" outlineLevel="0" collapsed="false">
      <c r="A6" s="33" t="n">
        <v>2</v>
      </c>
      <c r="B6" s="7" t="s">
        <v>102</v>
      </c>
      <c r="C6" s="7" t="s">
        <v>283</v>
      </c>
      <c r="D6" s="6" t="s">
        <v>106</v>
      </c>
      <c r="E6" s="57" t="s">
        <v>284</v>
      </c>
      <c r="F6" s="6" t="s">
        <v>285</v>
      </c>
      <c r="G6" s="6" t="s">
        <v>286</v>
      </c>
      <c r="H6" s="35" t="n">
        <v>1</v>
      </c>
      <c r="I6" s="34" t="s">
        <v>105</v>
      </c>
      <c r="J6" s="36" t="n">
        <f aca="false">H6*封面!$C$17</f>
        <v>1</v>
      </c>
      <c r="K6" s="54"/>
      <c r="L6" s="38" t="n">
        <f aca="false">J6*K6</f>
        <v>0</v>
      </c>
      <c r="M6" s="56" t="s">
        <v>287</v>
      </c>
      <c r="N6" s="56" t="s">
        <v>288</v>
      </c>
    </row>
    <row r="7" customFormat="false" ht="75" hidden="false" customHeight="true" outlineLevel="0" collapsed="false">
      <c r="A7" s="33" t="n">
        <v>3</v>
      </c>
      <c r="B7" s="7" t="s">
        <v>108</v>
      </c>
      <c r="C7" s="7" t="s">
        <v>289</v>
      </c>
      <c r="D7" s="6" t="s">
        <v>106</v>
      </c>
      <c r="E7" s="57" t="s">
        <v>290</v>
      </c>
      <c r="F7" s="6" t="s">
        <v>291</v>
      </c>
      <c r="G7" s="6" t="s">
        <v>292</v>
      </c>
      <c r="H7" s="35" t="n">
        <v>1</v>
      </c>
      <c r="I7" s="34" t="s">
        <v>111</v>
      </c>
      <c r="J7" s="36" t="n">
        <f aca="false">H7*封面!$C$17</f>
        <v>1</v>
      </c>
      <c r="K7" s="54"/>
      <c r="L7" s="38" t="n">
        <f aca="false">J7*K7</f>
        <v>0</v>
      </c>
      <c r="M7" s="56" t="s">
        <v>287</v>
      </c>
      <c r="N7" s="55"/>
    </row>
    <row r="8" customFormat="false" ht="150" hidden="false" customHeight="true" outlineLevel="0" collapsed="false">
      <c r="A8" s="33" t="n">
        <v>4</v>
      </c>
      <c r="B8" s="7" t="s">
        <v>113</v>
      </c>
      <c r="C8" s="7" t="s">
        <v>293</v>
      </c>
      <c r="D8" s="5" t="s">
        <v>117</v>
      </c>
      <c r="E8" s="5" t="s">
        <v>115</v>
      </c>
      <c r="F8" s="6" t="s">
        <v>294</v>
      </c>
      <c r="G8" s="5" t="s">
        <v>295</v>
      </c>
      <c r="H8" s="35" t="n">
        <v>1</v>
      </c>
      <c r="I8" s="34" t="s">
        <v>116</v>
      </c>
      <c r="J8" s="36" t="n">
        <f aca="false">H8*封面!$C$17</f>
        <v>1</v>
      </c>
      <c r="K8" s="54"/>
      <c r="L8" s="38" t="n">
        <f aca="false">J8*K8</f>
        <v>0</v>
      </c>
      <c r="M8" s="55" t="s">
        <v>296</v>
      </c>
      <c r="N8" s="56" t="s">
        <v>297</v>
      </c>
    </row>
    <row r="9" customFormat="false" ht="15" hidden="false" customHeight="false" outlineLevel="0" collapsed="false">
      <c r="A9" s="47"/>
      <c r="B9" s="47"/>
      <c r="C9" s="58" t="s">
        <v>298</v>
      </c>
      <c r="D9" s="47"/>
      <c r="E9" s="47"/>
      <c r="F9" s="47"/>
      <c r="G9" s="47"/>
      <c r="H9" s="47"/>
      <c r="I9" s="47"/>
      <c r="J9" s="59" t="n">
        <f aca="false">SUM(J5:J8)</f>
        <v>4</v>
      </c>
      <c r="K9" s="47"/>
      <c r="L9" s="49" t="n">
        <f aca="false">SUM(L5:L8)</f>
        <v>0</v>
      </c>
      <c r="M9" s="47"/>
      <c r="N9" s="47"/>
    </row>
    <row r="11" customFormat="false" ht="15" hidden="false" customHeight="false" outlineLevel="0" collapsed="false">
      <c r="B11" s="60" t="s">
        <v>276</v>
      </c>
    </row>
    <row r="12" customFormat="false" ht="15" hidden="false" customHeight="false" outlineLevel="0" collapsed="false">
      <c r="B12" s="61" t="s">
        <v>299</v>
      </c>
    </row>
    <row r="13" customFormat="false" ht="15" hidden="false" customHeight="false" outlineLevel="0" collapsed="false">
      <c r="B13" s="61" t="s">
        <v>300</v>
      </c>
    </row>
    <row r="14" customFormat="false" ht="15" hidden="false" customHeight="false" outlineLevel="0" collapsed="false">
      <c r="B14" s="61" t="s">
        <v>301</v>
      </c>
    </row>
    <row r="15" customFormat="false" ht="15" hidden="false" customHeight="false" outlineLevel="0" collapsed="false">
      <c r="B15" s="61" t="s">
        <v>302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44"/>
    <col collapsed="false" customWidth="true" hidden="false" outlineLevel="0" max="8" min="8" style="0" width="60"/>
    <col collapsed="false" customWidth="true" hidden="false" outlineLevel="0" max="9" min="9" style="0" width="26"/>
    <col collapsed="false" customWidth="true" hidden="false" outlineLevel="0" max="10" min="10" style="0" width="9"/>
    <col collapsed="false" customWidth="true" hidden="false" outlineLevel="0" max="11" min="11" style="0" width="11"/>
  </cols>
  <sheetData>
    <row r="1" customFormat="false" ht="21.6" hidden="false" customHeight="false" outlineLevel="0" collapsed="false">
      <c r="A1" s="52" t="s">
        <v>303</v>
      </c>
    </row>
    <row r="2" customFormat="false" ht="15" hidden="false" customHeight="false" outlineLevel="0" collapsed="false">
      <c r="A2" s="10" t="s">
        <v>304</v>
      </c>
    </row>
    <row r="4" customFormat="false" ht="30" hidden="false" customHeight="true" outlineLevel="0" collapsed="false">
      <c r="A4" s="17" t="s">
        <v>66</v>
      </c>
      <c r="B4" s="17" t="s">
        <v>68</v>
      </c>
      <c r="C4" s="17" t="s">
        <v>305</v>
      </c>
      <c r="D4" s="17" t="s">
        <v>67</v>
      </c>
      <c r="E4" s="17" t="s">
        <v>306</v>
      </c>
      <c r="F4" s="17" t="s">
        <v>307</v>
      </c>
      <c r="G4" s="17" t="s">
        <v>308</v>
      </c>
      <c r="H4" s="17" t="s">
        <v>309</v>
      </c>
      <c r="I4" s="17" t="s">
        <v>79</v>
      </c>
      <c r="J4" s="17" t="s">
        <v>77</v>
      </c>
      <c r="K4" s="17" t="s">
        <v>78</v>
      </c>
    </row>
    <row r="5" customFormat="false" ht="26.85" hidden="false" customHeight="false" outlineLevel="0" collapsed="false">
      <c r="A5" s="30" t="n">
        <v>1</v>
      </c>
      <c r="B5" s="27" t="s">
        <v>119</v>
      </c>
      <c r="C5" s="27" t="s">
        <v>310</v>
      </c>
      <c r="D5" s="30" t="n">
        <v>1</v>
      </c>
      <c r="E5" s="28" t="s">
        <v>88</v>
      </c>
      <c r="F5" s="27" t="s">
        <v>121</v>
      </c>
      <c r="G5" s="27" t="s">
        <v>311</v>
      </c>
      <c r="H5" s="27" t="s">
        <v>312</v>
      </c>
      <c r="I5" s="27" t="s">
        <v>123</v>
      </c>
      <c r="J5" s="62" t="n">
        <f aca="false">SUM(J6:J12)</f>
        <v>109</v>
      </c>
      <c r="K5" s="63" t="n">
        <f aca="false">SUM(K6:K12)</f>
        <v>18.5807018280029</v>
      </c>
    </row>
    <row r="6" customFormat="false" ht="41" hidden="false" customHeight="false" outlineLevel="0" collapsed="false">
      <c r="A6" s="33" t="n">
        <v>2</v>
      </c>
      <c r="B6" s="5" t="s">
        <v>126</v>
      </c>
      <c r="C6" s="6" t="s">
        <v>313</v>
      </c>
      <c r="D6" s="33" t="n">
        <v>2</v>
      </c>
      <c r="E6" s="33" t="s">
        <v>119</v>
      </c>
      <c r="F6" s="5" t="s">
        <v>128</v>
      </c>
      <c r="G6" s="5" t="s">
        <v>314</v>
      </c>
      <c r="H6" s="5" t="s">
        <v>315</v>
      </c>
      <c r="I6" s="5" t="s">
        <v>130</v>
      </c>
      <c r="J6" s="64" t="n">
        <f aca="false">COUNTIF(檔案清單!$C$5:$C$1334,B6)</f>
        <v>24</v>
      </c>
      <c r="K6" s="65" t="n">
        <f aca="false">SUMIF(檔案清單!$C$5:$C$1334,B6,檔案清單!$G$5:$G$1334)/1048576</f>
        <v>0.202046394348145</v>
      </c>
    </row>
    <row r="7" customFormat="false" ht="29.85" hidden="false" customHeight="false" outlineLevel="0" collapsed="false">
      <c r="A7" s="33" t="n">
        <v>3</v>
      </c>
      <c r="B7" s="5" t="s">
        <v>133</v>
      </c>
      <c r="C7" s="6" t="s">
        <v>316</v>
      </c>
      <c r="D7" s="33" t="n">
        <v>2</v>
      </c>
      <c r="E7" s="33" t="s">
        <v>119</v>
      </c>
      <c r="F7" s="5" t="s">
        <v>128</v>
      </c>
      <c r="G7" s="5" t="s">
        <v>317</v>
      </c>
      <c r="H7" s="5" t="s">
        <v>318</v>
      </c>
      <c r="I7" s="5" t="s">
        <v>130</v>
      </c>
      <c r="J7" s="64" t="n">
        <f aca="false">COUNTIF(檔案清單!$C$5:$C$1334,B7)</f>
        <v>23</v>
      </c>
      <c r="K7" s="65" t="n">
        <f aca="false">SUMIF(檔案清單!$C$5:$C$1334,B7,檔案清單!$G$5:$G$1334)/1048576</f>
        <v>0.125225067138672</v>
      </c>
    </row>
    <row r="8" customFormat="false" ht="15" hidden="false" customHeight="false" outlineLevel="0" collapsed="false">
      <c r="A8" s="33" t="n">
        <v>4</v>
      </c>
      <c r="B8" s="5" t="s">
        <v>136</v>
      </c>
      <c r="C8" s="6" t="s">
        <v>319</v>
      </c>
      <c r="D8" s="33" t="n">
        <v>2</v>
      </c>
      <c r="E8" s="33" t="s">
        <v>119</v>
      </c>
      <c r="F8" s="5" t="s">
        <v>128</v>
      </c>
      <c r="G8" s="5" t="s">
        <v>320</v>
      </c>
      <c r="H8" s="5" t="s">
        <v>321</v>
      </c>
      <c r="I8" s="5" t="s">
        <v>130</v>
      </c>
      <c r="J8" s="64" t="n">
        <f aca="false">COUNTIF(檔案清單!$C$5:$C$1334,B8)</f>
        <v>11</v>
      </c>
      <c r="K8" s="65" t="n">
        <f aca="false">SUMIF(檔案清單!$C$5:$C$1334,B8,檔案清單!$G$5:$G$1334)/1048576</f>
        <v>0.255378723144531</v>
      </c>
    </row>
    <row r="9" customFormat="false" ht="29.85" hidden="false" customHeight="false" outlineLevel="0" collapsed="false">
      <c r="A9" s="33" t="n">
        <v>5</v>
      </c>
      <c r="B9" s="5" t="s">
        <v>139</v>
      </c>
      <c r="C9" s="6" t="s">
        <v>322</v>
      </c>
      <c r="D9" s="33" t="n">
        <v>2</v>
      </c>
      <c r="E9" s="33" t="s">
        <v>119</v>
      </c>
      <c r="F9" s="5" t="s">
        <v>141</v>
      </c>
      <c r="G9" s="5" t="s">
        <v>323</v>
      </c>
      <c r="H9" s="6" t="s">
        <v>324</v>
      </c>
      <c r="I9" s="5" t="s">
        <v>130</v>
      </c>
      <c r="J9" s="64" t="n">
        <f aca="false">COUNTIF(檔案清單!$C$5:$C$1334,B9)</f>
        <v>1</v>
      </c>
      <c r="K9" s="65" t="n">
        <f aca="false">SUMIF(檔案清單!$C$5:$C$1334,B9,檔案清單!$G$5:$G$1334)/1048576</f>
        <v>7.42130756378174</v>
      </c>
    </row>
    <row r="10" customFormat="false" ht="29.85" hidden="false" customHeight="false" outlineLevel="0" collapsed="false">
      <c r="A10" s="33" t="n">
        <v>6</v>
      </c>
      <c r="B10" s="5" t="s">
        <v>145</v>
      </c>
      <c r="C10" s="6" t="s">
        <v>325</v>
      </c>
      <c r="D10" s="33" t="n">
        <v>2</v>
      </c>
      <c r="E10" s="33" t="s">
        <v>119</v>
      </c>
      <c r="F10" s="5" t="s">
        <v>147</v>
      </c>
      <c r="G10" s="5" t="s">
        <v>326</v>
      </c>
      <c r="H10" s="5" t="s">
        <v>327</v>
      </c>
      <c r="I10" s="6" t="s">
        <v>148</v>
      </c>
      <c r="J10" s="64" t="n">
        <f aca="false">COUNTIF(檔案清單!$C$5:$C$1334,B10)</f>
        <v>11</v>
      </c>
      <c r="K10" s="65" t="n">
        <f aca="false">SUMIF(檔案清單!$C$5:$C$1334,B10,檔案清單!$G$5:$G$1334)/1048576</f>
        <v>0.0832157135009766</v>
      </c>
    </row>
    <row r="11" customFormat="false" ht="26.85" hidden="false" customHeight="false" outlineLevel="0" collapsed="false">
      <c r="A11" s="33" t="n">
        <v>7</v>
      </c>
      <c r="B11" s="5" t="s">
        <v>150</v>
      </c>
      <c r="C11" s="6" t="s">
        <v>328</v>
      </c>
      <c r="D11" s="33" t="n">
        <v>2</v>
      </c>
      <c r="E11" s="33" t="s">
        <v>119</v>
      </c>
      <c r="F11" s="5" t="s">
        <v>88</v>
      </c>
      <c r="G11" s="5" t="s">
        <v>329</v>
      </c>
      <c r="H11" s="5" t="s">
        <v>330</v>
      </c>
      <c r="I11" s="6" t="s">
        <v>152</v>
      </c>
      <c r="J11" s="64" t="n">
        <f aca="false">COUNTIF(檔案清單!$C$5:$C$1334,B11)</f>
        <v>38</v>
      </c>
      <c r="K11" s="65" t="n">
        <f aca="false">SUMIF(檔案清單!$C$5:$C$1334,B11,檔案清單!$G$5:$G$1334)/1048576</f>
        <v>0.311220169067383</v>
      </c>
    </row>
    <row r="12" customFormat="false" ht="15" hidden="false" customHeight="false" outlineLevel="0" collapsed="false">
      <c r="A12" s="33" t="n">
        <v>8</v>
      </c>
      <c r="B12" s="5" t="s">
        <v>154</v>
      </c>
      <c r="C12" s="6" t="s">
        <v>331</v>
      </c>
      <c r="D12" s="33" t="n">
        <v>2</v>
      </c>
      <c r="E12" s="33" t="s">
        <v>119</v>
      </c>
      <c r="F12" s="5" t="s">
        <v>156</v>
      </c>
      <c r="G12" s="5" t="s">
        <v>332</v>
      </c>
      <c r="H12" s="6" t="s">
        <v>333</v>
      </c>
      <c r="I12" s="6" t="s">
        <v>152</v>
      </c>
      <c r="J12" s="64" t="n">
        <f aca="false">COUNTIF(檔案清單!$C$5:$C$1334,B12)</f>
        <v>1</v>
      </c>
      <c r="K12" s="65" t="n">
        <f aca="false">SUMIF(檔案清單!$C$5:$C$1334,B12,檔案清單!$G$5:$G$1334)/1048576</f>
        <v>10.1823081970215</v>
      </c>
    </row>
    <row r="13" customFormat="false" ht="29.85" hidden="false" customHeight="false" outlineLevel="0" collapsed="false">
      <c r="A13" s="30" t="n">
        <v>9</v>
      </c>
      <c r="B13" s="27" t="s">
        <v>158</v>
      </c>
      <c r="C13" s="27" t="s">
        <v>334</v>
      </c>
      <c r="D13" s="30" t="n">
        <v>1</v>
      </c>
      <c r="E13" s="28" t="s">
        <v>88</v>
      </c>
      <c r="F13" s="27" t="s">
        <v>160</v>
      </c>
      <c r="G13" s="27" t="s">
        <v>335</v>
      </c>
      <c r="H13" s="27" t="s">
        <v>336</v>
      </c>
      <c r="I13" s="27" t="s">
        <v>161</v>
      </c>
      <c r="J13" s="62" t="n">
        <f aca="false">SUM(J14:J35)</f>
        <v>591</v>
      </c>
      <c r="K13" s="63" t="n">
        <f aca="false">SUM(K14:K35)</f>
        <v>116.814918518066</v>
      </c>
    </row>
    <row r="14" customFormat="false" ht="26.85" hidden="false" customHeight="false" outlineLevel="0" collapsed="false">
      <c r="A14" s="33" t="n">
        <v>10</v>
      </c>
      <c r="B14" s="5" t="s">
        <v>163</v>
      </c>
      <c r="C14" s="6" t="s">
        <v>337</v>
      </c>
      <c r="D14" s="33" t="n">
        <v>2</v>
      </c>
      <c r="E14" s="33" t="s">
        <v>158</v>
      </c>
      <c r="F14" s="5" t="s">
        <v>165</v>
      </c>
      <c r="G14" s="5" t="s">
        <v>338</v>
      </c>
      <c r="H14" s="5" t="s">
        <v>339</v>
      </c>
      <c r="I14" s="5" t="s">
        <v>166</v>
      </c>
      <c r="J14" s="64" t="n">
        <f aca="false">COUNTIF(檔案清單!$C$5:$C$1334,B14)</f>
        <v>25</v>
      </c>
      <c r="K14" s="65" t="n">
        <f aca="false">SUMIF(檔案清單!$C$5:$C$1334,B14,檔案清單!$G$5:$G$1334)/1048576</f>
        <v>0.0957269668579102</v>
      </c>
    </row>
    <row r="15" customFormat="false" ht="26.85" hidden="false" customHeight="false" outlineLevel="0" collapsed="false">
      <c r="A15" s="33" t="n">
        <v>11</v>
      </c>
      <c r="B15" s="5" t="s">
        <v>168</v>
      </c>
      <c r="C15" s="6" t="s">
        <v>340</v>
      </c>
      <c r="D15" s="33" t="n">
        <v>2</v>
      </c>
      <c r="E15" s="33" t="s">
        <v>158</v>
      </c>
      <c r="F15" s="5" t="s">
        <v>165</v>
      </c>
      <c r="G15" s="5" t="s">
        <v>341</v>
      </c>
      <c r="H15" s="6" t="s">
        <v>342</v>
      </c>
      <c r="I15" s="5" t="s">
        <v>166</v>
      </c>
      <c r="J15" s="64" t="n">
        <f aca="false">COUNTIF(檔案清單!$C$5:$C$1334,B15)</f>
        <v>20</v>
      </c>
      <c r="K15" s="65" t="n">
        <f aca="false">SUMIF(檔案清單!$C$5:$C$1334,B15,檔案清單!$G$5:$G$1334)/1048576</f>
        <v>0.159591674804688</v>
      </c>
    </row>
    <row r="16" customFormat="false" ht="15" hidden="false" customHeight="false" outlineLevel="0" collapsed="false">
      <c r="A16" s="33" t="n">
        <v>12</v>
      </c>
      <c r="B16" s="5" t="s">
        <v>171</v>
      </c>
      <c r="C16" s="6" t="s">
        <v>343</v>
      </c>
      <c r="D16" s="33" t="n">
        <v>2</v>
      </c>
      <c r="E16" s="33" t="s">
        <v>158</v>
      </c>
      <c r="F16" s="5" t="s">
        <v>165</v>
      </c>
      <c r="G16" s="5" t="s">
        <v>344</v>
      </c>
      <c r="H16" s="5" t="s">
        <v>345</v>
      </c>
      <c r="I16" s="5" t="s">
        <v>166</v>
      </c>
      <c r="J16" s="64" t="n">
        <f aca="false">COUNTIF(檔案清單!$C$5:$C$1334,B16)</f>
        <v>10</v>
      </c>
      <c r="K16" s="65" t="n">
        <f aca="false">SUMIF(檔案清單!$C$5:$C$1334,B16,檔案清單!$G$5:$G$1334)/1048576</f>
        <v>0.0818891525268555</v>
      </c>
    </row>
    <row r="17" customFormat="false" ht="29.85" hidden="false" customHeight="false" outlineLevel="0" collapsed="false">
      <c r="A17" s="33" t="n">
        <v>13</v>
      </c>
      <c r="B17" s="5" t="s">
        <v>174</v>
      </c>
      <c r="C17" s="6" t="s">
        <v>346</v>
      </c>
      <c r="D17" s="33" t="n">
        <v>2</v>
      </c>
      <c r="E17" s="33" t="s">
        <v>158</v>
      </c>
      <c r="F17" s="5" t="s">
        <v>165</v>
      </c>
      <c r="G17" s="5" t="s">
        <v>347</v>
      </c>
      <c r="H17" s="5" t="s">
        <v>348</v>
      </c>
      <c r="I17" s="5" t="s">
        <v>166</v>
      </c>
      <c r="J17" s="64" t="n">
        <f aca="false">COUNTIF(檔案清單!$C$5:$C$1334,B17)</f>
        <v>18</v>
      </c>
      <c r="K17" s="65" t="n">
        <f aca="false">SUMIF(檔案清單!$C$5:$C$1334,B17,檔案清單!$G$5:$G$1334)/1048576</f>
        <v>0.0973224639892578</v>
      </c>
    </row>
    <row r="18" customFormat="false" ht="38.05" hidden="false" customHeight="false" outlineLevel="0" collapsed="false">
      <c r="A18" s="33" t="n">
        <v>14</v>
      </c>
      <c r="B18" s="5" t="s">
        <v>177</v>
      </c>
      <c r="C18" s="6" t="s">
        <v>349</v>
      </c>
      <c r="D18" s="33" t="n">
        <v>2</v>
      </c>
      <c r="E18" s="33" t="s">
        <v>158</v>
      </c>
      <c r="F18" s="5" t="s">
        <v>165</v>
      </c>
      <c r="G18" s="5" t="s">
        <v>350</v>
      </c>
      <c r="H18" s="6" t="s">
        <v>351</v>
      </c>
      <c r="I18" s="5" t="s">
        <v>166</v>
      </c>
      <c r="J18" s="64" t="n">
        <f aca="false">COUNTIF(檔案清單!$C$5:$C$1334,B18)</f>
        <v>36</v>
      </c>
      <c r="K18" s="65" t="n">
        <f aca="false">SUMIF(檔案清單!$C$5:$C$1334,B18,檔案清單!$G$5:$G$1334)/1048576</f>
        <v>0.551413536071777</v>
      </c>
    </row>
    <row r="19" customFormat="false" ht="15" hidden="false" customHeight="false" outlineLevel="0" collapsed="false">
      <c r="A19" s="33" t="n">
        <v>15</v>
      </c>
      <c r="B19" s="5" t="s">
        <v>180</v>
      </c>
      <c r="C19" s="6" t="s">
        <v>352</v>
      </c>
      <c r="D19" s="33" t="n">
        <v>2</v>
      </c>
      <c r="E19" s="33" t="s">
        <v>158</v>
      </c>
      <c r="F19" s="5" t="s">
        <v>165</v>
      </c>
      <c r="G19" s="5" t="s">
        <v>353</v>
      </c>
      <c r="H19" s="5" t="s">
        <v>354</v>
      </c>
      <c r="I19" s="5" t="s">
        <v>166</v>
      </c>
      <c r="J19" s="64" t="n">
        <f aca="false">COUNTIF(檔案清單!$C$5:$C$1334,B19)</f>
        <v>51</v>
      </c>
      <c r="K19" s="65" t="n">
        <f aca="false">SUMIF(檔案清單!$C$5:$C$1334,B19,檔案清單!$G$5:$G$1334)/1048576</f>
        <v>0.196229934692383</v>
      </c>
    </row>
    <row r="20" customFormat="false" ht="15" hidden="false" customHeight="false" outlineLevel="0" collapsed="false">
      <c r="A20" s="33" t="n">
        <v>16</v>
      </c>
      <c r="B20" s="5" t="s">
        <v>183</v>
      </c>
      <c r="C20" s="6" t="s">
        <v>355</v>
      </c>
      <c r="D20" s="33" t="n">
        <v>2</v>
      </c>
      <c r="E20" s="33" t="s">
        <v>158</v>
      </c>
      <c r="F20" s="5" t="s">
        <v>165</v>
      </c>
      <c r="G20" s="5" t="s">
        <v>356</v>
      </c>
      <c r="H20" s="5" t="s">
        <v>357</v>
      </c>
      <c r="I20" s="5" t="s">
        <v>166</v>
      </c>
      <c r="J20" s="64" t="n">
        <f aca="false">COUNTIF(檔案清單!$C$5:$C$1334,B20)</f>
        <v>24</v>
      </c>
      <c r="K20" s="65" t="n">
        <f aca="false">SUMIF(檔案清單!$C$5:$C$1334,B20,檔案清單!$G$5:$G$1334)/1048576</f>
        <v>0.212360382080078</v>
      </c>
    </row>
    <row r="21" customFormat="false" ht="15" hidden="false" customHeight="false" outlineLevel="0" collapsed="false">
      <c r="A21" s="33" t="n">
        <v>17</v>
      </c>
      <c r="B21" s="5" t="s">
        <v>186</v>
      </c>
      <c r="C21" s="6" t="s">
        <v>358</v>
      </c>
      <c r="D21" s="33" t="n">
        <v>2</v>
      </c>
      <c r="E21" s="33" t="s">
        <v>158</v>
      </c>
      <c r="F21" s="5" t="s">
        <v>165</v>
      </c>
      <c r="G21" s="5" t="s">
        <v>359</v>
      </c>
      <c r="H21" s="5" t="s">
        <v>357</v>
      </c>
      <c r="I21" s="5" t="s">
        <v>166</v>
      </c>
      <c r="J21" s="64" t="n">
        <f aca="false">COUNTIF(檔案清單!$C$5:$C$1334,B21)</f>
        <v>17</v>
      </c>
      <c r="K21" s="65" t="n">
        <f aca="false">SUMIF(檔案清單!$C$5:$C$1334,B21,檔案清單!$G$5:$G$1334)/1048576</f>
        <v>0.0646181106567383</v>
      </c>
    </row>
    <row r="22" customFormat="false" ht="15" hidden="false" customHeight="false" outlineLevel="0" collapsed="false">
      <c r="A22" s="33" t="n">
        <v>18</v>
      </c>
      <c r="B22" s="5" t="s">
        <v>189</v>
      </c>
      <c r="C22" s="6" t="s">
        <v>360</v>
      </c>
      <c r="D22" s="33" t="n">
        <v>2</v>
      </c>
      <c r="E22" s="33" t="s">
        <v>158</v>
      </c>
      <c r="F22" s="5" t="s">
        <v>165</v>
      </c>
      <c r="G22" s="5" t="s">
        <v>361</v>
      </c>
      <c r="H22" s="6" t="s">
        <v>362</v>
      </c>
      <c r="I22" s="5" t="s">
        <v>166</v>
      </c>
      <c r="J22" s="64" t="n">
        <f aca="false">COUNTIF(檔案清單!$C$5:$C$1334,B22)</f>
        <v>4</v>
      </c>
      <c r="K22" s="65" t="n">
        <f aca="false">SUMIF(檔案清單!$C$5:$C$1334,B22,檔案清單!$G$5:$G$1334)/1048576</f>
        <v>0.0189552307128906</v>
      </c>
    </row>
    <row r="23" customFormat="false" ht="15" hidden="false" customHeight="false" outlineLevel="0" collapsed="false">
      <c r="A23" s="33" t="n">
        <v>19</v>
      </c>
      <c r="B23" s="5" t="s">
        <v>192</v>
      </c>
      <c r="C23" s="6" t="s">
        <v>363</v>
      </c>
      <c r="D23" s="33" t="n">
        <v>2</v>
      </c>
      <c r="E23" s="33" t="s">
        <v>158</v>
      </c>
      <c r="F23" s="5" t="s">
        <v>165</v>
      </c>
      <c r="G23" s="5" t="s">
        <v>364</v>
      </c>
      <c r="H23" s="5" t="s">
        <v>365</v>
      </c>
      <c r="I23" s="5" t="s">
        <v>166</v>
      </c>
      <c r="J23" s="64" t="n">
        <f aca="false">COUNTIF(檔案清單!$C$5:$C$1334,B23)</f>
        <v>29</v>
      </c>
      <c r="K23" s="65" t="n">
        <f aca="false">SUMIF(檔案清單!$C$5:$C$1334,B23,檔案清單!$G$5:$G$1334)/1048576</f>
        <v>0.166141510009766</v>
      </c>
    </row>
    <row r="24" customFormat="false" ht="15" hidden="false" customHeight="false" outlineLevel="0" collapsed="false">
      <c r="A24" s="33" t="n">
        <v>20</v>
      </c>
      <c r="B24" s="5" t="s">
        <v>195</v>
      </c>
      <c r="C24" s="6" t="s">
        <v>366</v>
      </c>
      <c r="D24" s="33" t="n">
        <v>2</v>
      </c>
      <c r="E24" s="33" t="s">
        <v>158</v>
      </c>
      <c r="F24" s="5" t="s">
        <v>165</v>
      </c>
      <c r="G24" s="5" t="s">
        <v>367</v>
      </c>
      <c r="H24" s="5" t="s">
        <v>368</v>
      </c>
      <c r="I24" s="5" t="s">
        <v>166</v>
      </c>
      <c r="J24" s="64" t="n">
        <f aca="false">COUNTIF(檔案清單!$C$5:$C$1334,B24)</f>
        <v>15</v>
      </c>
      <c r="K24" s="65" t="n">
        <f aca="false">SUMIF(檔案清單!$C$5:$C$1334,B24,檔案清單!$G$5:$G$1334)/1048576</f>
        <v>0.10832691192627</v>
      </c>
    </row>
    <row r="25" customFormat="false" ht="15" hidden="false" customHeight="false" outlineLevel="0" collapsed="false">
      <c r="A25" s="33" t="n">
        <v>21</v>
      </c>
      <c r="B25" s="5" t="s">
        <v>198</v>
      </c>
      <c r="C25" s="6" t="s">
        <v>369</v>
      </c>
      <c r="D25" s="33" t="n">
        <v>2</v>
      </c>
      <c r="E25" s="33" t="s">
        <v>158</v>
      </c>
      <c r="F25" s="5" t="s">
        <v>165</v>
      </c>
      <c r="G25" s="5" t="s">
        <v>370</v>
      </c>
      <c r="H25" s="5" t="s">
        <v>371</v>
      </c>
      <c r="I25" s="5" t="s">
        <v>166</v>
      </c>
      <c r="J25" s="64" t="n">
        <f aca="false">COUNTIF(檔案清單!$C$5:$C$1334,B25)</f>
        <v>30</v>
      </c>
      <c r="K25" s="65" t="n">
        <f aca="false">SUMIF(檔案清單!$C$5:$C$1334,B25,檔案清單!$G$5:$G$1334)/1048576</f>
        <v>0.313867568969727</v>
      </c>
    </row>
    <row r="26" customFormat="false" ht="29.85" hidden="false" customHeight="false" outlineLevel="0" collapsed="false">
      <c r="A26" s="33" t="n">
        <v>22</v>
      </c>
      <c r="B26" s="5" t="s">
        <v>201</v>
      </c>
      <c r="C26" s="6" t="s">
        <v>372</v>
      </c>
      <c r="D26" s="33" t="n">
        <v>2</v>
      </c>
      <c r="E26" s="33" t="s">
        <v>158</v>
      </c>
      <c r="F26" s="5" t="s">
        <v>165</v>
      </c>
      <c r="G26" s="5" t="s">
        <v>373</v>
      </c>
      <c r="H26" s="6" t="s">
        <v>374</v>
      </c>
      <c r="I26" s="5" t="s">
        <v>166</v>
      </c>
      <c r="J26" s="64" t="n">
        <f aca="false">COUNTIF(檔案清單!$C$5:$C$1334,B26)</f>
        <v>27</v>
      </c>
      <c r="K26" s="65" t="n">
        <f aca="false">SUMIF(檔案清單!$C$5:$C$1334,B26,檔案清單!$G$5:$G$1334)/1048576</f>
        <v>38.6605796813965</v>
      </c>
    </row>
    <row r="27" customFormat="false" ht="29.85" hidden="false" customHeight="false" outlineLevel="0" collapsed="false">
      <c r="A27" s="33" t="n">
        <v>23</v>
      </c>
      <c r="B27" s="5" t="s">
        <v>204</v>
      </c>
      <c r="C27" s="6" t="s">
        <v>375</v>
      </c>
      <c r="D27" s="33" t="n">
        <v>2</v>
      </c>
      <c r="E27" s="33" t="s">
        <v>158</v>
      </c>
      <c r="F27" s="5" t="s">
        <v>165</v>
      </c>
      <c r="G27" s="5" t="s">
        <v>376</v>
      </c>
      <c r="H27" s="6" t="s">
        <v>377</v>
      </c>
      <c r="I27" s="5" t="s">
        <v>166</v>
      </c>
      <c r="J27" s="64" t="n">
        <f aca="false">COUNTIF(檔案清單!$C$5:$C$1334,B27)</f>
        <v>35</v>
      </c>
      <c r="K27" s="65" t="n">
        <f aca="false">SUMIF(檔案清單!$C$5:$C$1334,B27,檔案清單!$G$5:$G$1334)/1048576</f>
        <v>1.30772972106934</v>
      </c>
    </row>
    <row r="28" customFormat="false" ht="29.85" hidden="false" customHeight="false" outlineLevel="0" collapsed="false">
      <c r="A28" s="33" t="n">
        <v>24</v>
      </c>
      <c r="B28" s="5" t="s">
        <v>207</v>
      </c>
      <c r="C28" s="6" t="s">
        <v>378</v>
      </c>
      <c r="D28" s="33" t="n">
        <v>2</v>
      </c>
      <c r="E28" s="33" t="s">
        <v>158</v>
      </c>
      <c r="F28" s="5" t="s">
        <v>165</v>
      </c>
      <c r="G28" s="5" t="s">
        <v>379</v>
      </c>
      <c r="H28" s="6" t="s">
        <v>380</v>
      </c>
      <c r="I28" s="5" t="s">
        <v>166</v>
      </c>
      <c r="J28" s="64" t="n">
        <f aca="false">COUNTIF(檔案清單!$C$5:$C$1334,B28)</f>
        <v>104</v>
      </c>
      <c r="K28" s="65" t="n">
        <f aca="false">SUMIF(檔案清單!$C$5:$C$1334,B28,檔案清單!$G$5:$G$1334)/1048576</f>
        <v>10.6276321411133</v>
      </c>
    </row>
    <row r="29" customFormat="false" ht="41" hidden="false" customHeight="false" outlineLevel="0" collapsed="false">
      <c r="A29" s="33" t="n">
        <v>25</v>
      </c>
      <c r="B29" s="5" t="s">
        <v>210</v>
      </c>
      <c r="C29" s="6" t="s">
        <v>381</v>
      </c>
      <c r="D29" s="33" t="n">
        <v>2</v>
      </c>
      <c r="E29" s="33" t="s">
        <v>158</v>
      </c>
      <c r="F29" s="5" t="s">
        <v>165</v>
      </c>
      <c r="G29" s="5" t="s">
        <v>382</v>
      </c>
      <c r="H29" s="6" t="s">
        <v>383</v>
      </c>
      <c r="I29" s="5" t="s">
        <v>166</v>
      </c>
      <c r="J29" s="64" t="n">
        <f aca="false">COUNTIF(檔案清單!$C$5:$C$1334,B29)</f>
        <v>62</v>
      </c>
      <c r="K29" s="65" t="n">
        <f aca="false">SUMIF(檔案清單!$C$5:$C$1334,B29,檔案清單!$G$5:$G$1334)/1048576</f>
        <v>6.42991256713867</v>
      </c>
    </row>
    <row r="30" customFormat="false" ht="41" hidden="false" customHeight="false" outlineLevel="0" collapsed="false">
      <c r="A30" s="33" t="n">
        <v>26</v>
      </c>
      <c r="B30" s="5" t="s">
        <v>213</v>
      </c>
      <c r="C30" s="6" t="s">
        <v>384</v>
      </c>
      <c r="D30" s="33" t="n">
        <v>2</v>
      </c>
      <c r="E30" s="33" t="s">
        <v>158</v>
      </c>
      <c r="F30" s="5" t="s">
        <v>165</v>
      </c>
      <c r="G30" s="5" t="s">
        <v>385</v>
      </c>
      <c r="H30" s="6" t="s">
        <v>386</v>
      </c>
      <c r="I30" s="5" t="s">
        <v>166</v>
      </c>
      <c r="J30" s="64" t="n">
        <f aca="false">COUNTIF(檔案清單!$C$5:$C$1334,B30)</f>
        <v>37</v>
      </c>
      <c r="K30" s="65" t="n">
        <f aca="false">SUMIF(檔案清單!$C$5:$C$1334,B30,檔案清單!$G$5:$G$1334)/1048576</f>
        <v>1.07402992248535</v>
      </c>
    </row>
    <row r="31" customFormat="false" ht="15" hidden="false" customHeight="false" outlineLevel="0" collapsed="false">
      <c r="A31" s="33" t="n">
        <v>27</v>
      </c>
      <c r="B31" s="5" t="s">
        <v>216</v>
      </c>
      <c r="C31" s="6" t="s">
        <v>387</v>
      </c>
      <c r="D31" s="33" t="n">
        <v>2</v>
      </c>
      <c r="E31" s="33" t="s">
        <v>158</v>
      </c>
      <c r="F31" s="5" t="s">
        <v>165</v>
      </c>
      <c r="G31" s="5" t="s">
        <v>388</v>
      </c>
      <c r="H31" s="6" t="s">
        <v>389</v>
      </c>
      <c r="I31" s="5" t="s">
        <v>166</v>
      </c>
      <c r="J31" s="64" t="n">
        <f aca="false">COUNTIF(檔案清單!$C$5:$C$1334,B31)</f>
        <v>27</v>
      </c>
      <c r="K31" s="65" t="n">
        <f aca="false">SUMIF(檔案清單!$C$5:$C$1334,B31,檔案清單!$G$5:$G$1334)/1048576</f>
        <v>54.9805335998535</v>
      </c>
    </row>
    <row r="32" customFormat="false" ht="15" hidden="false" customHeight="false" outlineLevel="0" collapsed="false">
      <c r="A32" s="33" t="n">
        <v>28</v>
      </c>
      <c r="B32" s="5" t="s">
        <v>219</v>
      </c>
      <c r="C32" s="6" t="s">
        <v>390</v>
      </c>
      <c r="D32" s="33" t="n">
        <v>2</v>
      </c>
      <c r="E32" s="33" t="s">
        <v>158</v>
      </c>
      <c r="F32" s="5" t="s">
        <v>165</v>
      </c>
      <c r="G32" s="5" t="s">
        <v>391</v>
      </c>
      <c r="H32" s="5" t="s">
        <v>392</v>
      </c>
      <c r="I32" s="5" t="s">
        <v>166</v>
      </c>
      <c r="J32" s="64" t="n">
        <f aca="false">COUNTIF(檔案清單!$C$5:$C$1334,B32)</f>
        <v>2</v>
      </c>
      <c r="K32" s="65" t="n">
        <f aca="false">SUMIF(檔案清單!$C$5:$C$1334,B32,檔案清單!$G$5:$G$1334)/1048576</f>
        <v>0.835421562194824</v>
      </c>
    </row>
    <row r="33" customFormat="false" ht="15" hidden="false" customHeight="false" outlineLevel="0" collapsed="false">
      <c r="A33" s="33" t="n">
        <v>29</v>
      </c>
      <c r="B33" s="5" t="s">
        <v>222</v>
      </c>
      <c r="C33" s="6" t="s">
        <v>393</v>
      </c>
      <c r="D33" s="33" t="n">
        <v>2</v>
      </c>
      <c r="E33" s="33" t="s">
        <v>158</v>
      </c>
      <c r="F33" s="5" t="s">
        <v>165</v>
      </c>
      <c r="G33" s="5" t="s">
        <v>394</v>
      </c>
      <c r="H33" s="5" t="s">
        <v>395</v>
      </c>
      <c r="I33" s="5" t="s">
        <v>166</v>
      </c>
      <c r="J33" s="64" t="n">
        <f aca="false">COUNTIF(檔案清單!$C$5:$C$1334,B33)</f>
        <v>4</v>
      </c>
      <c r="K33" s="65" t="n">
        <f aca="false">SUMIF(檔案清單!$C$5:$C$1334,B33,檔案清單!$G$5:$G$1334)/1048576</f>
        <v>0.00886249542236328</v>
      </c>
    </row>
    <row r="34" customFormat="false" ht="15" hidden="false" customHeight="false" outlineLevel="0" collapsed="false">
      <c r="A34" s="33" t="n">
        <v>30</v>
      </c>
      <c r="B34" s="5" t="s">
        <v>225</v>
      </c>
      <c r="C34" s="6" t="s">
        <v>396</v>
      </c>
      <c r="D34" s="33" t="n">
        <v>2</v>
      </c>
      <c r="E34" s="33" t="s">
        <v>158</v>
      </c>
      <c r="F34" s="5" t="s">
        <v>165</v>
      </c>
      <c r="G34" s="5" t="s">
        <v>397</v>
      </c>
      <c r="H34" s="5" t="s">
        <v>398</v>
      </c>
      <c r="I34" s="5" t="s">
        <v>166</v>
      </c>
      <c r="J34" s="64" t="n">
        <f aca="false">COUNTIF(檔案清單!$C$5:$C$1334,B34)</f>
        <v>9</v>
      </c>
      <c r="K34" s="65" t="n">
        <f aca="false">SUMIF(檔案清單!$C$5:$C$1334,B34,檔案清單!$G$5:$G$1334)/1048576</f>
        <v>0.656272888183594</v>
      </c>
    </row>
    <row r="35" customFormat="false" ht="29.85" hidden="false" customHeight="false" outlineLevel="0" collapsed="false">
      <c r="A35" s="33" t="n">
        <v>31</v>
      </c>
      <c r="B35" s="5" t="s">
        <v>228</v>
      </c>
      <c r="C35" s="6" t="s">
        <v>399</v>
      </c>
      <c r="D35" s="33" t="n">
        <v>2</v>
      </c>
      <c r="E35" s="33" t="s">
        <v>158</v>
      </c>
      <c r="F35" s="5" t="s">
        <v>165</v>
      </c>
      <c r="G35" s="5" t="s">
        <v>400</v>
      </c>
      <c r="H35" s="5" t="s">
        <v>401</v>
      </c>
      <c r="I35" s="6" t="s">
        <v>148</v>
      </c>
      <c r="J35" s="64" t="n">
        <f aca="false">COUNTIF(檔案清單!$C$5:$C$1334,B35)</f>
        <v>5</v>
      </c>
      <c r="K35" s="65" t="n">
        <f aca="false">SUMIF(檔案清單!$C$5:$C$1334,B35,檔案清單!$G$5:$G$1334)/1048576</f>
        <v>0.167500495910645</v>
      </c>
    </row>
    <row r="36" customFormat="false" ht="29.85" hidden="false" customHeight="false" outlineLevel="0" collapsed="false">
      <c r="A36" s="30" t="n">
        <v>32</v>
      </c>
      <c r="B36" s="27" t="s">
        <v>231</v>
      </c>
      <c r="C36" s="29" t="s">
        <v>402</v>
      </c>
      <c r="D36" s="30" t="n">
        <v>1</v>
      </c>
      <c r="E36" s="28" t="s">
        <v>88</v>
      </c>
      <c r="F36" s="27" t="s">
        <v>88</v>
      </c>
      <c r="G36" s="27" t="s">
        <v>403</v>
      </c>
      <c r="H36" s="29" t="s">
        <v>404</v>
      </c>
      <c r="I36" s="29" t="s">
        <v>152</v>
      </c>
      <c r="J36" s="62" t="n">
        <f aca="false">SUM(J37:J41)</f>
        <v>352</v>
      </c>
      <c r="K36" s="63" t="n">
        <f aca="false">SUM(K37:K41)</f>
        <v>148.883664131165</v>
      </c>
    </row>
    <row r="37" customFormat="false" ht="15" hidden="false" customHeight="false" outlineLevel="0" collapsed="false">
      <c r="A37" s="33" t="n">
        <v>33</v>
      </c>
      <c r="B37" s="5" t="s">
        <v>234</v>
      </c>
      <c r="C37" s="6" t="s">
        <v>405</v>
      </c>
      <c r="D37" s="33" t="n">
        <v>2</v>
      </c>
      <c r="E37" s="33" t="s">
        <v>231</v>
      </c>
      <c r="F37" s="5" t="s">
        <v>88</v>
      </c>
      <c r="G37" s="5" t="s">
        <v>406</v>
      </c>
      <c r="H37" s="5" t="s">
        <v>407</v>
      </c>
      <c r="I37" s="6" t="s">
        <v>152</v>
      </c>
      <c r="J37" s="64" t="n">
        <f aca="false">COUNTIF(檔案清單!$C$5:$C$1334,B37)</f>
        <v>115</v>
      </c>
      <c r="K37" s="65" t="n">
        <f aca="false">SUMIF(檔案清單!$C$5:$C$1334,B37,檔案清單!$G$5:$G$1334)/1048576</f>
        <v>1.52920436859131</v>
      </c>
    </row>
    <row r="38" customFormat="false" ht="15" hidden="false" customHeight="false" outlineLevel="0" collapsed="false">
      <c r="A38" s="33" t="n">
        <v>34</v>
      </c>
      <c r="B38" s="5" t="s">
        <v>237</v>
      </c>
      <c r="C38" s="6" t="s">
        <v>408</v>
      </c>
      <c r="D38" s="33" t="n">
        <v>2</v>
      </c>
      <c r="E38" s="33" t="s">
        <v>231</v>
      </c>
      <c r="F38" s="5" t="s">
        <v>88</v>
      </c>
      <c r="G38" s="5" t="s">
        <v>409</v>
      </c>
      <c r="H38" s="5" t="s">
        <v>410</v>
      </c>
      <c r="I38" s="6" t="s">
        <v>152</v>
      </c>
      <c r="J38" s="64" t="n">
        <f aca="false">COUNTIF(檔案清單!$C$5:$C$1334,B38)</f>
        <v>24</v>
      </c>
      <c r="K38" s="65" t="n">
        <f aca="false">SUMIF(檔案清單!$C$5:$C$1334,B38,檔案清單!$G$5:$G$1334)/1048576</f>
        <v>30.3062114715576</v>
      </c>
    </row>
    <row r="39" customFormat="false" ht="29.85" hidden="false" customHeight="false" outlineLevel="0" collapsed="false">
      <c r="A39" s="33" t="n">
        <v>35</v>
      </c>
      <c r="B39" s="5" t="s">
        <v>240</v>
      </c>
      <c r="C39" s="6" t="s">
        <v>411</v>
      </c>
      <c r="D39" s="33" t="n">
        <v>2</v>
      </c>
      <c r="E39" s="33" t="s">
        <v>231</v>
      </c>
      <c r="F39" s="5" t="s">
        <v>88</v>
      </c>
      <c r="G39" s="5" t="s">
        <v>412</v>
      </c>
      <c r="H39" s="5" t="s">
        <v>413</v>
      </c>
      <c r="I39" s="6" t="s">
        <v>152</v>
      </c>
      <c r="J39" s="64" t="n">
        <f aca="false">COUNTIF(檔案清單!$C$5:$C$1334,B39)</f>
        <v>3</v>
      </c>
      <c r="K39" s="65" t="n">
        <f aca="false">SUMIF(檔案清單!$C$5:$C$1334,B39,檔案清單!$G$5:$G$1334)/1048576</f>
        <v>0.0602807998657227</v>
      </c>
    </row>
    <row r="40" customFormat="false" ht="15" hidden="false" customHeight="false" outlineLevel="0" collapsed="false">
      <c r="A40" s="33" t="n">
        <v>36</v>
      </c>
      <c r="B40" s="5" t="s">
        <v>243</v>
      </c>
      <c r="C40" s="6" t="s">
        <v>414</v>
      </c>
      <c r="D40" s="33" t="n">
        <v>2</v>
      </c>
      <c r="E40" s="33" t="s">
        <v>231</v>
      </c>
      <c r="F40" s="5" t="s">
        <v>245</v>
      </c>
      <c r="G40" s="5" t="s">
        <v>415</v>
      </c>
      <c r="H40" s="5" t="s">
        <v>416</v>
      </c>
      <c r="I40" s="6" t="s">
        <v>246</v>
      </c>
      <c r="J40" s="64" t="n">
        <f aca="false">COUNTIF(檔案清單!$C$5:$C$1334,B40)</f>
        <v>31</v>
      </c>
      <c r="K40" s="65" t="n">
        <f aca="false">SUMIF(檔案清單!$C$5:$C$1334,B40,檔案清單!$G$5:$G$1334)/1048576</f>
        <v>0.0168876647949219</v>
      </c>
    </row>
    <row r="41" customFormat="false" ht="15" hidden="false" customHeight="false" outlineLevel="0" collapsed="false">
      <c r="A41" s="33" t="n">
        <v>37</v>
      </c>
      <c r="B41" s="5" t="s">
        <v>248</v>
      </c>
      <c r="C41" s="6" t="s">
        <v>417</v>
      </c>
      <c r="D41" s="33" t="n">
        <v>2</v>
      </c>
      <c r="E41" s="33" t="s">
        <v>231</v>
      </c>
      <c r="F41" s="5" t="s">
        <v>165</v>
      </c>
      <c r="G41" s="6" t="s">
        <v>418</v>
      </c>
      <c r="H41" s="5" t="s">
        <v>419</v>
      </c>
      <c r="I41" s="6" t="s">
        <v>250</v>
      </c>
      <c r="J41" s="64" t="n">
        <f aca="false">COUNTIF(檔案清單!$C$5:$C$1334,B41)</f>
        <v>179</v>
      </c>
      <c r="K41" s="65" t="n">
        <f aca="false">SUMIF(檔案清單!$C$5:$C$1334,B41,檔案清單!$G$5:$G$1334)/1048576</f>
        <v>116.971079826355</v>
      </c>
    </row>
    <row r="42" customFormat="false" ht="15" hidden="false" customHeight="false" outlineLevel="0" collapsed="false">
      <c r="A42" s="30" t="n">
        <v>38</v>
      </c>
      <c r="B42" s="27" t="s">
        <v>252</v>
      </c>
      <c r="C42" s="29" t="s">
        <v>420</v>
      </c>
      <c r="D42" s="30" t="n">
        <v>1</v>
      </c>
      <c r="E42" s="28" t="s">
        <v>88</v>
      </c>
      <c r="F42" s="27" t="s">
        <v>88</v>
      </c>
      <c r="G42" s="27" t="s">
        <v>421</v>
      </c>
      <c r="H42" s="29" t="s">
        <v>422</v>
      </c>
      <c r="I42" s="29" t="s">
        <v>254</v>
      </c>
      <c r="J42" s="62" t="n">
        <f aca="false">SUM(J43:J46)</f>
        <v>278</v>
      </c>
      <c r="K42" s="63" t="n">
        <f aca="false">SUM(K43:K46)</f>
        <v>23.2172985076904</v>
      </c>
    </row>
    <row r="43" customFormat="false" ht="15" hidden="false" customHeight="false" outlineLevel="0" collapsed="false">
      <c r="A43" s="33" t="n">
        <v>39</v>
      </c>
      <c r="B43" s="5" t="s">
        <v>256</v>
      </c>
      <c r="C43" s="6" t="s">
        <v>423</v>
      </c>
      <c r="D43" s="33" t="n">
        <v>2</v>
      </c>
      <c r="E43" s="33" t="s">
        <v>252</v>
      </c>
      <c r="F43" s="5" t="s">
        <v>88</v>
      </c>
      <c r="G43" s="5" t="s">
        <v>424</v>
      </c>
      <c r="H43" s="5" t="s">
        <v>425</v>
      </c>
      <c r="I43" s="6" t="s">
        <v>254</v>
      </c>
      <c r="J43" s="64" t="n">
        <f aca="false">COUNTIF(檔案清單!$C$5:$C$1334,B43)</f>
        <v>2</v>
      </c>
      <c r="K43" s="65" t="n">
        <f aca="false">SUMIF(檔案清單!$C$5:$C$1334,B43,檔案清單!$G$5:$G$1334)/1048576</f>
        <v>0.308287620544434</v>
      </c>
    </row>
    <row r="44" customFormat="false" ht="29.85" hidden="false" customHeight="false" outlineLevel="0" collapsed="false">
      <c r="A44" s="33" t="n">
        <v>40</v>
      </c>
      <c r="B44" s="5" t="s">
        <v>259</v>
      </c>
      <c r="C44" s="6" t="s">
        <v>426</v>
      </c>
      <c r="D44" s="33" t="n">
        <v>2</v>
      </c>
      <c r="E44" s="33" t="s">
        <v>252</v>
      </c>
      <c r="F44" s="5" t="s">
        <v>88</v>
      </c>
      <c r="G44" s="5" t="s">
        <v>427</v>
      </c>
      <c r="H44" s="6" t="s">
        <v>428</v>
      </c>
      <c r="I44" s="6" t="s">
        <v>254</v>
      </c>
      <c r="J44" s="64" t="n">
        <f aca="false">COUNTIF(檔案清單!$C$5:$C$1334,B44)</f>
        <v>36</v>
      </c>
      <c r="K44" s="65" t="n">
        <f aca="false">SUMIF(檔案清單!$C$5:$C$1334,B44,檔案清單!$G$5:$G$1334)/1048576</f>
        <v>0.425163269042969</v>
      </c>
    </row>
    <row r="45" customFormat="false" ht="15" hidden="false" customHeight="false" outlineLevel="0" collapsed="false">
      <c r="A45" s="33" t="n">
        <v>41</v>
      </c>
      <c r="B45" s="5" t="s">
        <v>262</v>
      </c>
      <c r="C45" s="6" t="s">
        <v>429</v>
      </c>
      <c r="D45" s="33" t="n">
        <v>2</v>
      </c>
      <c r="E45" s="33" t="s">
        <v>252</v>
      </c>
      <c r="F45" s="5" t="s">
        <v>88</v>
      </c>
      <c r="G45" s="5" t="s">
        <v>430</v>
      </c>
      <c r="H45" s="6" t="s">
        <v>431</v>
      </c>
      <c r="I45" s="6" t="s">
        <v>254</v>
      </c>
      <c r="J45" s="64" t="n">
        <f aca="false">COUNTIF(檔案清單!$C$5:$C$1334,B45)</f>
        <v>11</v>
      </c>
      <c r="K45" s="65" t="n">
        <f aca="false">SUMIF(檔案清單!$C$5:$C$1334,B45,檔案清單!$G$5:$G$1334)/1048576</f>
        <v>0.485001564025879</v>
      </c>
    </row>
    <row r="46" customFormat="false" ht="15" hidden="false" customHeight="false" outlineLevel="0" collapsed="false">
      <c r="A46" s="33" t="n">
        <v>42</v>
      </c>
      <c r="B46" s="5" t="s">
        <v>265</v>
      </c>
      <c r="C46" s="6" t="s">
        <v>432</v>
      </c>
      <c r="D46" s="33" t="n">
        <v>2</v>
      </c>
      <c r="E46" s="33" t="s">
        <v>252</v>
      </c>
      <c r="F46" s="5" t="s">
        <v>88</v>
      </c>
      <c r="G46" s="5" t="s">
        <v>433</v>
      </c>
      <c r="H46" s="6" t="s">
        <v>434</v>
      </c>
      <c r="I46" s="6" t="s">
        <v>254</v>
      </c>
      <c r="J46" s="64" t="n">
        <f aca="false">COUNTIF(檔案清單!$C$5:$C$1334,B46)</f>
        <v>229</v>
      </c>
      <c r="K46" s="65" t="n">
        <f aca="false">SUMIF(檔案清單!$C$5:$C$1334,B46,檔案清單!$G$5:$G$1334)/1048576</f>
        <v>21.9988460540772</v>
      </c>
    </row>
    <row r="47" customFormat="false" ht="15" hidden="false" customHeight="false" outlineLevel="0" collapsed="false">
      <c r="A47" s="47"/>
      <c r="B47" s="47"/>
      <c r="C47" s="58" t="s">
        <v>435</v>
      </c>
      <c r="D47" s="47"/>
      <c r="E47" s="47"/>
      <c r="F47" s="47"/>
      <c r="G47" s="47"/>
      <c r="H47" s="47"/>
      <c r="I47" s="47"/>
      <c r="J47" s="66" t="n">
        <f aca="false">J5+J13+J36+J42</f>
        <v>1330</v>
      </c>
      <c r="K47" s="67" t="n">
        <f aca="false">K5+K13+K36+K42</f>
        <v>307.496582984924</v>
      </c>
    </row>
    <row r="48" customFormat="false" ht="15" hidden="false" customHeight="false" outlineLevel="0" collapsed="false">
      <c r="C48" s="68" t="s">
        <v>436</v>
      </c>
      <c r="H48" s="69" t="s">
        <v>437</v>
      </c>
      <c r="J48" s="45" t="n">
        <f aca="false">檔案清單!A1335</f>
        <v>1330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20"/>
    <col collapsed="false" customWidth="true" hidden="false" outlineLevel="0" max="9" min="9" style="0" width="40"/>
  </cols>
  <sheetData>
    <row r="1" customFormat="false" ht="21.6" hidden="false" customHeight="false" outlineLevel="0" collapsed="false">
      <c r="A1" s="52" t="s">
        <v>438</v>
      </c>
    </row>
    <row r="2" customFormat="false" ht="15" hidden="false" customHeight="false" outlineLevel="0" collapsed="false">
      <c r="A2" s="70" t="s">
        <v>439</v>
      </c>
    </row>
    <row r="4" customFormat="false" ht="30" hidden="false" customHeight="true" outlineLevel="0" collapsed="false">
      <c r="A4" s="17" t="s">
        <v>66</v>
      </c>
      <c r="B4" s="17" t="s">
        <v>440</v>
      </c>
      <c r="C4" s="17" t="s">
        <v>441</v>
      </c>
      <c r="D4" s="17" t="s">
        <v>442</v>
      </c>
      <c r="E4" s="17" t="s">
        <v>443</v>
      </c>
      <c r="F4" s="17" t="s">
        <v>71</v>
      </c>
      <c r="G4" s="17" t="s">
        <v>444</v>
      </c>
      <c r="H4" s="17" t="s">
        <v>445</v>
      </c>
      <c r="I4" s="17" t="s">
        <v>446</v>
      </c>
    </row>
    <row r="5" customFormat="false" ht="15" hidden="false" customHeight="false" outlineLevel="0" collapsed="false">
      <c r="A5" s="33" t="n">
        <v>1</v>
      </c>
      <c r="B5" s="5" t="s">
        <v>447</v>
      </c>
      <c r="C5" s="5" t="s">
        <v>448</v>
      </c>
      <c r="D5" s="5" t="s">
        <v>449</v>
      </c>
      <c r="E5" s="5" t="s">
        <v>450</v>
      </c>
      <c r="F5" s="5" t="s">
        <v>451</v>
      </c>
      <c r="G5" s="5" t="s">
        <v>452</v>
      </c>
      <c r="H5" s="6" t="s">
        <v>453</v>
      </c>
      <c r="I5" s="5" t="s">
        <v>454</v>
      </c>
    </row>
    <row r="6" customFormat="false" ht="15" hidden="false" customHeight="false" outlineLevel="0" collapsed="false">
      <c r="A6" s="33" t="n">
        <v>2</v>
      </c>
      <c r="B6" s="5" t="s">
        <v>455</v>
      </c>
      <c r="C6" s="5" t="s">
        <v>456</v>
      </c>
      <c r="D6" s="5" t="s">
        <v>457</v>
      </c>
      <c r="E6" s="5" t="s">
        <v>458</v>
      </c>
      <c r="F6" s="5" t="s">
        <v>451</v>
      </c>
      <c r="G6" s="6" t="s">
        <v>459</v>
      </c>
      <c r="H6" s="6" t="s">
        <v>453</v>
      </c>
      <c r="I6" s="5" t="s">
        <v>454</v>
      </c>
    </row>
    <row r="7" customFormat="false" ht="15" hidden="false" customHeight="false" outlineLevel="0" collapsed="false">
      <c r="A7" s="33" t="n">
        <v>3</v>
      </c>
      <c r="B7" s="5" t="s">
        <v>460</v>
      </c>
      <c r="C7" s="5" t="s">
        <v>461</v>
      </c>
      <c r="D7" s="5" t="s">
        <v>462</v>
      </c>
      <c r="E7" s="5" t="s">
        <v>458</v>
      </c>
      <c r="F7" s="5" t="s">
        <v>451</v>
      </c>
      <c r="G7" s="6" t="s">
        <v>463</v>
      </c>
      <c r="H7" s="6" t="s">
        <v>453</v>
      </c>
      <c r="I7" s="5" t="s">
        <v>454</v>
      </c>
    </row>
    <row r="8" customFormat="false" ht="15" hidden="false" customHeight="false" outlineLevel="0" collapsed="false">
      <c r="A8" s="33" t="n">
        <v>4</v>
      </c>
      <c r="B8" s="5" t="s">
        <v>464</v>
      </c>
      <c r="C8" s="5" t="s">
        <v>465</v>
      </c>
      <c r="D8" s="5" t="s">
        <v>466</v>
      </c>
      <c r="E8" s="5" t="s">
        <v>450</v>
      </c>
      <c r="F8" s="5" t="s">
        <v>451</v>
      </c>
      <c r="G8" s="6" t="s">
        <v>467</v>
      </c>
      <c r="H8" s="6" t="s">
        <v>453</v>
      </c>
      <c r="I8" s="5" t="s">
        <v>454</v>
      </c>
    </row>
    <row r="9" customFormat="false" ht="15" hidden="false" customHeight="false" outlineLevel="0" collapsed="false">
      <c r="A9" s="33" t="n">
        <v>5</v>
      </c>
      <c r="B9" s="5" t="s">
        <v>468</v>
      </c>
      <c r="C9" s="5" t="s">
        <v>469</v>
      </c>
      <c r="D9" s="5" t="s">
        <v>470</v>
      </c>
      <c r="E9" s="5" t="s">
        <v>471</v>
      </c>
      <c r="F9" s="5" t="s">
        <v>451</v>
      </c>
      <c r="G9" s="6" t="s">
        <v>472</v>
      </c>
      <c r="H9" s="6" t="s">
        <v>453</v>
      </c>
      <c r="I9" s="5" t="s">
        <v>454</v>
      </c>
    </row>
    <row r="10" customFormat="false" ht="15" hidden="false" customHeight="false" outlineLevel="0" collapsed="false">
      <c r="A10" s="33" t="n">
        <v>6</v>
      </c>
      <c r="B10" s="5" t="s">
        <v>473</v>
      </c>
      <c r="C10" s="5" t="s">
        <v>474</v>
      </c>
      <c r="D10" s="5" t="s">
        <v>144</v>
      </c>
      <c r="E10" s="5" t="s">
        <v>458</v>
      </c>
      <c r="F10" s="5" t="s">
        <v>451</v>
      </c>
      <c r="G10" s="5" t="s">
        <v>475</v>
      </c>
      <c r="H10" s="6" t="s">
        <v>453</v>
      </c>
      <c r="I10" s="5" t="s">
        <v>454</v>
      </c>
    </row>
    <row r="11" customFormat="false" ht="15" hidden="false" customHeight="false" outlineLevel="0" collapsed="false">
      <c r="A11" s="33" t="n">
        <v>7</v>
      </c>
      <c r="B11" s="5" t="s">
        <v>476</v>
      </c>
      <c r="C11" s="5" t="s">
        <v>477</v>
      </c>
      <c r="D11" s="5" t="s">
        <v>478</v>
      </c>
      <c r="E11" s="5" t="s">
        <v>458</v>
      </c>
      <c r="F11" s="5" t="s">
        <v>451</v>
      </c>
      <c r="G11" s="5" t="s">
        <v>479</v>
      </c>
      <c r="H11" s="6" t="s">
        <v>453</v>
      </c>
      <c r="I11" s="5" t="s">
        <v>454</v>
      </c>
    </row>
    <row r="12" customFormat="false" ht="15" hidden="false" customHeight="false" outlineLevel="0" collapsed="false">
      <c r="A12" s="33" t="n">
        <v>8</v>
      </c>
      <c r="B12" s="5" t="s">
        <v>480</v>
      </c>
      <c r="C12" s="5" t="s">
        <v>477</v>
      </c>
      <c r="D12" s="5" t="s">
        <v>478</v>
      </c>
      <c r="E12" s="5" t="s">
        <v>458</v>
      </c>
      <c r="F12" s="5" t="s">
        <v>451</v>
      </c>
      <c r="G12" s="5" t="s">
        <v>481</v>
      </c>
      <c r="H12" s="6" t="s">
        <v>453</v>
      </c>
      <c r="I12" s="5" t="s">
        <v>454</v>
      </c>
    </row>
    <row r="13" customFormat="false" ht="15" hidden="false" customHeight="false" outlineLevel="0" collapsed="false">
      <c r="A13" s="33" t="n">
        <v>9</v>
      </c>
      <c r="B13" s="5" t="s">
        <v>482</v>
      </c>
      <c r="C13" s="5" t="s">
        <v>483</v>
      </c>
      <c r="D13" s="5" t="s">
        <v>484</v>
      </c>
      <c r="E13" s="5" t="s">
        <v>458</v>
      </c>
      <c r="F13" s="5" t="s">
        <v>451</v>
      </c>
      <c r="G13" s="5" t="s">
        <v>485</v>
      </c>
      <c r="H13" s="6" t="s">
        <v>453</v>
      </c>
      <c r="I13" s="5" t="s">
        <v>454</v>
      </c>
    </row>
    <row r="14" customFormat="false" ht="15" hidden="false" customHeight="false" outlineLevel="0" collapsed="false">
      <c r="A14" s="33" t="n">
        <v>10</v>
      </c>
      <c r="B14" s="5" t="s">
        <v>486</v>
      </c>
      <c r="C14" s="5" t="s">
        <v>487</v>
      </c>
      <c r="D14" s="5" t="s">
        <v>488</v>
      </c>
      <c r="E14" s="5" t="s">
        <v>458</v>
      </c>
      <c r="F14" s="5" t="s">
        <v>451</v>
      </c>
      <c r="G14" s="6" t="s">
        <v>489</v>
      </c>
      <c r="H14" s="6" t="s">
        <v>453</v>
      </c>
      <c r="I14" s="5" t="s">
        <v>454</v>
      </c>
    </row>
    <row r="15" customFormat="false" ht="15" hidden="false" customHeight="false" outlineLevel="0" collapsed="false">
      <c r="A15" s="33" t="n">
        <v>11</v>
      </c>
      <c r="B15" s="5" t="s">
        <v>490</v>
      </c>
      <c r="C15" s="5" t="s">
        <v>491</v>
      </c>
      <c r="D15" s="5" t="s">
        <v>492</v>
      </c>
      <c r="E15" s="5" t="s">
        <v>458</v>
      </c>
      <c r="F15" s="5" t="s">
        <v>493</v>
      </c>
      <c r="G15" s="5" t="s">
        <v>494</v>
      </c>
      <c r="H15" s="6" t="s">
        <v>495</v>
      </c>
      <c r="I15" s="5" t="s">
        <v>454</v>
      </c>
    </row>
    <row r="16" customFormat="false" ht="15" hidden="false" customHeight="false" outlineLevel="0" collapsed="false">
      <c r="A16" s="33" t="n">
        <v>12</v>
      </c>
      <c r="B16" s="5" t="s">
        <v>496</v>
      </c>
      <c r="C16" s="5" t="s">
        <v>497</v>
      </c>
      <c r="D16" s="5" t="s">
        <v>498</v>
      </c>
      <c r="E16" s="5" t="s">
        <v>458</v>
      </c>
      <c r="F16" s="5" t="s">
        <v>493</v>
      </c>
      <c r="G16" s="5" t="s">
        <v>499</v>
      </c>
      <c r="H16" s="6" t="s">
        <v>495</v>
      </c>
      <c r="I16" s="5" t="s">
        <v>454</v>
      </c>
    </row>
    <row r="17" customFormat="false" ht="15" hidden="false" customHeight="false" outlineLevel="0" collapsed="false">
      <c r="A17" s="33" t="n">
        <v>13</v>
      </c>
      <c r="B17" s="5" t="s">
        <v>500</v>
      </c>
      <c r="C17" s="5" t="s">
        <v>501</v>
      </c>
      <c r="D17" s="5" t="s">
        <v>502</v>
      </c>
      <c r="E17" s="5" t="s">
        <v>458</v>
      </c>
      <c r="F17" s="5" t="s">
        <v>493</v>
      </c>
      <c r="G17" s="5" t="s">
        <v>503</v>
      </c>
      <c r="H17" s="6" t="s">
        <v>495</v>
      </c>
      <c r="I17" s="5" t="s">
        <v>454</v>
      </c>
    </row>
    <row r="18" customFormat="false" ht="15" hidden="false" customHeight="false" outlineLevel="0" collapsed="false">
      <c r="A18" s="33" t="n">
        <v>14</v>
      </c>
      <c r="B18" s="5" t="s">
        <v>504</v>
      </c>
      <c r="C18" s="5" t="s">
        <v>505</v>
      </c>
      <c r="D18" s="5" t="s">
        <v>506</v>
      </c>
      <c r="E18" s="5" t="s">
        <v>458</v>
      </c>
      <c r="F18" s="5" t="s">
        <v>493</v>
      </c>
      <c r="G18" s="5" t="s">
        <v>507</v>
      </c>
      <c r="H18" s="6" t="s">
        <v>495</v>
      </c>
      <c r="I18" s="5" t="s">
        <v>454</v>
      </c>
    </row>
    <row r="19" customFormat="false" ht="15" hidden="false" customHeight="false" outlineLevel="0" collapsed="false">
      <c r="A19" s="33" t="n">
        <v>15</v>
      </c>
      <c r="B19" s="5" t="s">
        <v>508</v>
      </c>
      <c r="C19" s="5" t="s">
        <v>509</v>
      </c>
      <c r="D19" s="5" t="s">
        <v>510</v>
      </c>
      <c r="E19" s="5" t="s">
        <v>458</v>
      </c>
      <c r="F19" s="5" t="s">
        <v>493</v>
      </c>
      <c r="G19" s="6" t="s">
        <v>511</v>
      </c>
      <c r="H19" s="6" t="s">
        <v>495</v>
      </c>
      <c r="I19" s="5" t="s">
        <v>454</v>
      </c>
    </row>
    <row r="20" customFormat="false" ht="15" hidden="false" customHeight="false" outlineLevel="0" collapsed="false">
      <c r="A20" s="33" t="n">
        <v>16</v>
      </c>
      <c r="B20" s="5" t="s">
        <v>512</v>
      </c>
      <c r="C20" s="5" t="s">
        <v>491</v>
      </c>
      <c r="D20" s="5" t="s">
        <v>492</v>
      </c>
      <c r="E20" s="5" t="s">
        <v>458</v>
      </c>
      <c r="F20" s="5" t="s">
        <v>493</v>
      </c>
      <c r="G20" s="5" t="s">
        <v>513</v>
      </c>
      <c r="H20" s="6" t="s">
        <v>495</v>
      </c>
      <c r="I20" s="5" t="s">
        <v>454</v>
      </c>
    </row>
    <row r="21" customFormat="false" ht="15" hidden="false" customHeight="false" outlineLevel="0" collapsed="false">
      <c r="A21" s="33" t="n">
        <v>17</v>
      </c>
      <c r="B21" s="5" t="s">
        <v>514</v>
      </c>
      <c r="C21" s="5" t="s">
        <v>515</v>
      </c>
      <c r="D21" s="5" t="s">
        <v>516</v>
      </c>
      <c r="E21" s="5" t="s">
        <v>458</v>
      </c>
      <c r="F21" s="5" t="s">
        <v>493</v>
      </c>
      <c r="G21" s="6" t="s">
        <v>517</v>
      </c>
      <c r="H21" s="6" t="s">
        <v>495</v>
      </c>
      <c r="I21" s="5" t="s">
        <v>454</v>
      </c>
    </row>
    <row r="22" customFormat="false" ht="15" hidden="false" customHeight="false" outlineLevel="0" collapsed="false">
      <c r="A22" s="33" t="n">
        <v>18</v>
      </c>
      <c r="B22" s="6" t="s">
        <v>518</v>
      </c>
      <c r="C22" s="5" t="s">
        <v>170</v>
      </c>
      <c r="D22" s="5" t="s">
        <v>170</v>
      </c>
      <c r="E22" s="6" t="s">
        <v>519</v>
      </c>
      <c r="F22" s="5" t="s">
        <v>520</v>
      </c>
      <c r="G22" s="6" t="s">
        <v>521</v>
      </c>
      <c r="H22" s="6" t="s">
        <v>522</v>
      </c>
      <c r="I22" s="5" t="s">
        <v>523</v>
      </c>
    </row>
    <row r="23" customFormat="false" ht="15" hidden="false" customHeight="false" outlineLevel="0" collapsed="false">
      <c r="A23" s="33" t="n">
        <v>19</v>
      </c>
      <c r="B23" s="5" t="s">
        <v>524</v>
      </c>
      <c r="C23" s="5" t="s">
        <v>525</v>
      </c>
      <c r="D23" s="5" t="s">
        <v>525</v>
      </c>
      <c r="E23" s="5" t="s">
        <v>450</v>
      </c>
      <c r="F23" s="5" t="s">
        <v>520</v>
      </c>
      <c r="G23" s="5" t="s">
        <v>526</v>
      </c>
      <c r="H23" s="6" t="s">
        <v>522</v>
      </c>
      <c r="I23" s="5" t="s">
        <v>523</v>
      </c>
    </row>
    <row r="24" customFormat="false" ht="15" hidden="false" customHeight="false" outlineLevel="0" collapsed="false">
      <c r="A24" s="33" t="n">
        <v>20</v>
      </c>
      <c r="B24" s="5" t="s">
        <v>527</v>
      </c>
      <c r="C24" s="5" t="s">
        <v>528</v>
      </c>
      <c r="D24" s="5" t="s">
        <v>528</v>
      </c>
      <c r="E24" s="5" t="s">
        <v>529</v>
      </c>
      <c r="F24" s="5" t="s">
        <v>530</v>
      </c>
      <c r="G24" s="5" t="s">
        <v>531</v>
      </c>
      <c r="H24" s="6" t="s">
        <v>495</v>
      </c>
      <c r="I24" s="5" t="s">
        <v>523</v>
      </c>
    </row>
    <row r="25" customFormat="false" ht="15" hidden="false" customHeight="false" outlineLevel="0" collapsed="false">
      <c r="A25" s="33" t="n">
        <v>21</v>
      </c>
      <c r="B25" s="5" t="s">
        <v>532</v>
      </c>
      <c r="C25" s="5" t="s">
        <v>533</v>
      </c>
      <c r="D25" s="5" t="s">
        <v>533</v>
      </c>
      <c r="E25" s="5" t="s">
        <v>534</v>
      </c>
      <c r="F25" s="5" t="s">
        <v>530</v>
      </c>
      <c r="G25" s="6" t="s">
        <v>535</v>
      </c>
      <c r="H25" s="6" t="s">
        <v>495</v>
      </c>
      <c r="I25" s="5" t="s">
        <v>523</v>
      </c>
    </row>
    <row r="26" customFormat="false" ht="15" hidden="false" customHeight="false" outlineLevel="0" collapsed="false">
      <c r="A26" s="33" t="n">
        <v>22</v>
      </c>
      <c r="B26" s="5" t="s">
        <v>536</v>
      </c>
      <c r="C26" s="5" t="s">
        <v>537</v>
      </c>
      <c r="D26" s="5" t="s">
        <v>537</v>
      </c>
      <c r="E26" s="5" t="s">
        <v>450</v>
      </c>
      <c r="F26" s="5" t="s">
        <v>538</v>
      </c>
      <c r="G26" s="5" t="s">
        <v>539</v>
      </c>
      <c r="H26" s="6" t="s">
        <v>495</v>
      </c>
      <c r="I26" s="5" t="s">
        <v>540</v>
      </c>
    </row>
    <row r="27" customFormat="false" ht="15" hidden="false" customHeight="false" outlineLevel="0" collapsed="false">
      <c r="A27" s="33" t="n">
        <v>23</v>
      </c>
      <c r="B27" s="5" t="s">
        <v>541</v>
      </c>
      <c r="C27" s="5" t="s">
        <v>542</v>
      </c>
      <c r="D27" s="5" t="s">
        <v>542</v>
      </c>
      <c r="E27" s="5" t="s">
        <v>450</v>
      </c>
      <c r="F27" s="5" t="s">
        <v>538</v>
      </c>
      <c r="G27" s="6" t="s">
        <v>543</v>
      </c>
      <c r="H27" s="6" t="s">
        <v>495</v>
      </c>
      <c r="I27" s="5" t="s">
        <v>544</v>
      </c>
    </row>
    <row r="28" customFormat="false" ht="26.85" hidden="false" customHeight="false" outlineLevel="0" collapsed="false">
      <c r="A28" s="33" t="n">
        <v>24</v>
      </c>
      <c r="B28" s="5" t="s">
        <v>545</v>
      </c>
      <c r="C28" s="5" t="s">
        <v>546</v>
      </c>
      <c r="D28" s="5" t="s">
        <v>88</v>
      </c>
      <c r="E28" s="5" t="s">
        <v>547</v>
      </c>
      <c r="F28" s="5" t="s">
        <v>538</v>
      </c>
      <c r="G28" s="5" t="s">
        <v>548</v>
      </c>
      <c r="H28" s="6" t="s">
        <v>495</v>
      </c>
      <c r="I28" s="5" t="s">
        <v>523</v>
      </c>
    </row>
    <row r="29" customFormat="false" ht="15" hidden="false" customHeight="false" outlineLevel="0" collapsed="false">
      <c r="A29" s="33" t="n">
        <v>25</v>
      </c>
      <c r="B29" s="5" t="s">
        <v>549</v>
      </c>
      <c r="C29" s="5" t="s">
        <v>550</v>
      </c>
      <c r="D29" s="5" t="s">
        <v>550</v>
      </c>
      <c r="E29" s="5" t="s">
        <v>551</v>
      </c>
      <c r="F29" s="5" t="s">
        <v>552</v>
      </c>
      <c r="G29" s="5" t="s">
        <v>553</v>
      </c>
      <c r="H29" s="6" t="s">
        <v>495</v>
      </c>
      <c r="I29" s="5" t="s">
        <v>554</v>
      </c>
    </row>
    <row r="30" customFormat="false" ht="15" hidden="false" customHeight="false" outlineLevel="0" collapsed="false">
      <c r="A30" s="33" t="n">
        <v>26</v>
      </c>
      <c r="B30" s="5" t="s">
        <v>555</v>
      </c>
      <c r="C30" s="5" t="s">
        <v>556</v>
      </c>
      <c r="D30" s="5" t="s">
        <v>556</v>
      </c>
      <c r="E30" s="5" t="s">
        <v>458</v>
      </c>
      <c r="F30" s="5" t="s">
        <v>552</v>
      </c>
      <c r="G30" s="5" t="s">
        <v>557</v>
      </c>
      <c r="H30" s="6" t="s">
        <v>495</v>
      </c>
      <c r="I30" s="5" t="s">
        <v>558</v>
      </c>
    </row>
  </sheetData>
  <autoFilter ref="A4:I30"/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68"/>
    <col collapsed="false" customWidth="true" hidden="false" outlineLevel="0" max="9" min="9" style="0" width="30"/>
  </cols>
  <sheetData>
    <row r="1" customFormat="false" ht="21.6" hidden="false" customHeight="false" outlineLevel="0" collapsed="false">
      <c r="A1" s="16" t="s">
        <v>559</v>
      </c>
    </row>
    <row r="2" customFormat="false" ht="15" hidden="false" customHeight="false" outlineLevel="0" collapsed="false">
      <c r="A2" s="10" t="s">
        <v>560</v>
      </c>
    </row>
    <row r="4" customFormat="false" ht="30" hidden="false" customHeight="true" outlineLevel="0" collapsed="false">
      <c r="A4" s="17" t="s">
        <v>66</v>
      </c>
      <c r="B4" s="17" t="s">
        <v>561</v>
      </c>
      <c r="C4" s="17" t="s">
        <v>562</v>
      </c>
      <c r="D4" s="17" t="s">
        <v>563</v>
      </c>
      <c r="E4" s="17" t="s">
        <v>564</v>
      </c>
      <c r="F4" s="17" t="s">
        <v>565</v>
      </c>
      <c r="G4" s="17" t="s">
        <v>566</v>
      </c>
      <c r="H4" s="71" t="s">
        <v>567</v>
      </c>
      <c r="I4" s="17" t="s">
        <v>79</v>
      </c>
    </row>
    <row r="5" customFormat="false" ht="15" hidden="false" customHeight="false" outlineLevel="0" collapsed="false">
      <c r="A5" s="72" t="n">
        <v>1</v>
      </c>
      <c r="B5" s="72" t="s">
        <v>554</v>
      </c>
      <c r="C5" s="72" t="s">
        <v>240</v>
      </c>
      <c r="D5" s="72" t="s">
        <v>568</v>
      </c>
      <c r="E5" s="73" t="s">
        <v>569</v>
      </c>
      <c r="F5" s="72" t="s">
        <v>570</v>
      </c>
      <c r="G5" s="74" t="n">
        <v>30011</v>
      </c>
      <c r="H5" s="75" t="s">
        <v>571</v>
      </c>
      <c r="I5" s="73" t="s">
        <v>152</v>
      </c>
    </row>
    <row r="6" customFormat="false" ht="15" hidden="false" customHeight="false" outlineLevel="0" collapsed="false">
      <c r="A6" s="72" t="n">
        <v>2</v>
      </c>
      <c r="B6" s="72" t="s">
        <v>572</v>
      </c>
      <c r="C6" s="72" t="s">
        <v>240</v>
      </c>
      <c r="D6" s="72" t="s">
        <v>568</v>
      </c>
      <c r="E6" s="73" t="s">
        <v>569</v>
      </c>
      <c r="F6" s="72" t="s">
        <v>570</v>
      </c>
      <c r="G6" s="74" t="n">
        <v>5703</v>
      </c>
      <c r="H6" s="75" t="s">
        <v>573</v>
      </c>
      <c r="I6" s="73" t="s">
        <v>152</v>
      </c>
    </row>
    <row r="7" customFormat="false" ht="15" hidden="false" customHeight="false" outlineLevel="0" collapsed="false">
      <c r="A7" s="72" t="n">
        <v>3</v>
      </c>
      <c r="B7" s="72" t="s">
        <v>574</v>
      </c>
      <c r="C7" s="72" t="s">
        <v>240</v>
      </c>
      <c r="D7" s="72" t="s">
        <v>568</v>
      </c>
      <c r="E7" s="73" t="s">
        <v>569</v>
      </c>
      <c r="F7" s="72" t="s">
        <v>570</v>
      </c>
      <c r="G7" s="74" t="n">
        <v>27495</v>
      </c>
      <c r="H7" s="75" t="s">
        <v>575</v>
      </c>
      <c r="I7" s="73" t="s">
        <v>152</v>
      </c>
    </row>
    <row r="8" customFormat="false" ht="15" hidden="false" customHeight="false" outlineLevel="0" collapsed="false">
      <c r="A8" s="72" t="n">
        <v>4</v>
      </c>
      <c r="B8" s="72" t="s">
        <v>576</v>
      </c>
      <c r="C8" s="72" t="s">
        <v>248</v>
      </c>
      <c r="D8" s="72" t="s">
        <v>577</v>
      </c>
      <c r="E8" s="73" t="s">
        <v>578</v>
      </c>
      <c r="F8" s="73" t="s">
        <v>579</v>
      </c>
      <c r="G8" s="74" t="n">
        <v>0</v>
      </c>
      <c r="H8" s="75" t="s">
        <v>580</v>
      </c>
      <c r="I8" s="73" t="s">
        <v>250</v>
      </c>
    </row>
    <row r="9" customFormat="false" ht="15" hidden="false" customHeight="false" outlineLevel="0" collapsed="false">
      <c r="A9" s="72" t="n">
        <v>5</v>
      </c>
      <c r="B9" s="72" t="s">
        <v>581</v>
      </c>
      <c r="C9" s="72" t="s">
        <v>259</v>
      </c>
      <c r="D9" s="73" t="s">
        <v>582</v>
      </c>
      <c r="E9" s="73" t="s">
        <v>254</v>
      </c>
      <c r="F9" s="72" t="s">
        <v>583</v>
      </c>
      <c r="G9" s="74" t="n">
        <v>3146</v>
      </c>
      <c r="H9" s="75" t="s">
        <v>584</v>
      </c>
      <c r="I9" s="73" t="s">
        <v>254</v>
      </c>
    </row>
    <row r="10" customFormat="false" ht="15" hidden="false" customHeight="false" outlineLevel="0" collapsed="false">
      <c r="A10" s="72" t="n">
        <v>6</v>
      </c>
      <c r="B10" s="72" t="s">
        <v>585</v>
      </c>
      <c r="C10" s="72" t="s">
        <v>259</v>
      </c>
      <c r="D10" s="73" t="s">
        <v>582</v>
      </c>
      <c r="E10" s="73" t="s">
        <v>254</v>
      </c>
      <c r="F10" s="72" t="s">
        <v>583</v>
      </c>
      <c r="G10" s="74" t="n">
        <v>5368</v>
      </c>
      <c r="H10" s="75" t="s">
        <v>586</v>
      </c>
      <c r="I10" s="73" t="s">
        <v>254</v>
      </c>
    </row>
    <row r="11" customFormat="false" ht="15" hidden="false" customHeight="false" outlineLevel="0" collapsed="false">
      <c r="A11" s="72" t="n">
        <v>7</v>
      </c>
      <c r="B11" s="72" t="s">
        <v>587</v>
      </c>
      <c r="C11" s="72" t="s">
        <v>145</v>
      </c>
      <c r="D11" s="72" t="s">
        <v>588</v>
      </c>
      <c r="E11" s="73" t="s">
        <v>578</v>
      </c>
      <c r="F11" s="73" t="s">
        <v>579</v>
      </c>
      <c r="G11" s="74" t="n">
        <v>708</v>
      </c>
      <c r="H11" s="75" t="s">
        <v>589</v>
      </c>
      <c r="I11" s="73" t="s">
        <v>148</v>
      </c>
    </row>
    <row r="12" customFormat="false" ht="15" hidden="false" customHeight="false" outlineLevel="0" collapsed="false">
      <c r="A12" s="72" t="n">
        <v>8</v>
      </c>
      <c r="B12" s="72" t="s">
        <v>590</v>
      </c>
      <c r="C12" s="72" t="s">
        <v>259</v>
      </c>
      <c r="D12" s="73" t="s">
        <v>582</v>
      </c>
      <c r="E12" s="73" t="s">
        <v>254</v>
      </c>
      <c r="F12" s="72" t="s">
        <v>583</v>
      </c>
      <c r="G12" s="74" t="n">
        <v>13167</v>
      </c>
      <c r="H12" s="75" t="s">
        <v>591</v>
      </c>
      <c r="I12" s="73" t="s">
        <v>254</v>
      </c>
    </row>
    <row r="13" customFormat="false" ht="15" hidden="false" customHeight="false" outlineLevel="0" collapsed="false">
      <c r="A13" s="72" t="n">
        <v>9</v>
      </c>
      <c r="B13" s="72" t="s">
        <v>332</v>
      </c>
      <c r="C13" s="72" t="s">
        <v>154</v>
      </c>
      <c r="D13" s="73" t="s">
        <v>592</v>
      </c>
      <c r="E13" s="72" t="s">
        <v>593</v>
      </c>
      <c r="F13" s="72" t="s">
        <v>594</v>
      </c>
      <c r="G13" s="74" t="n">
        <v>10676924</v>
      </c>
      <c r="H13" s="75" t="s">
        <v>595</v>
      </c>
      <c r="I13" s="73" t="s">
        <v>152</v>
      </c>
    </row>
    <row r="14" customFormat="false" ht="15" hidden="false" customHeight="false" outlineLevel="0" collapsed="false">
      <c r="A14" s="72" t="n">
        <v>10</v>
      </c>
      <c r="B14" s="72" t="s">
        <v>596</v>
      </c>
      <c r="C14" s="72" t="s">
        <v>259</v>
      </c>
      <c r="D14" s="73" t="s">
        <v>582</v>
      </c>
      <c r="E14" s="73" t="s">
        <v>254</v>
      </c>
      <c r="F14" s="72" t="s">
        <v>583</v>
      </c>
      <c r="G14" s="74" t="n">
        <v>38960</v>
      </c>
      <c r="H14" s="75" t="s">
        <v>597</v>
      </c>
      <c r="I14" s="73" t="s">
        <v>254</v>
      </c>
    </row>
    <row r="15" customFormat="false" ht="15" hidden="false" customHeight="false" outlineLevel="0" collapsed="false">
      <c r="A15" s="72" t="n">
        <v>11</v>
      </c>
      <c r="B15" s="72" t="s">
        <v>523</v>
      </c>
      <c r="C15" s="72" t="s">
        <v>145</v>
      </c>
      <c r="D15" s="72" t="s">
        <v>588</v>
      </c>
      <c r="E15" s="73" t="s">
        <v>598</v>
      </c>
      <c r="F15" s="72" t="s">
        <v>599</v>
      </c>
      <c r="G15" s="74" t="n">
        <v>20260</v>
      </c>
      <c r="H15" s="75" t="s">
        <v>600</v>
      </c>
      <c r="I15" s="73" t="s">
        <v>148</v>
      </c>
    </row>
    <row r="16" customFormat="false" ht="15" hidden="false" customHeight="false" outlineLevel="0" collapsed="false">
      <c r="A16" s="72" t="n">
        <v>12</v>
      </c>
      <c r="B16" s="72" t="s">
        <v>601</v>
      </c>
      <c r="C16" s="72" t="s">
        <v>145</v>
      </c>
      <c r="D16" s="72" t="s">
        <v>588</v>
      </c>
      <c r="E16" s="73" t="s">
        <v>602</v>
      </c>
      <c r="F16" s="72" t="s">
        <v>603</v>
      </c>
      <c r="G16" s="74" t="n">
        <v>2720</v>
      </c>
      <c r="H16" s="75" t="s">
        <v>604</v>
      </c>
      <c r="I16" s="73" t="s">
        <v>148</v>
      </c>
    </row>
    <row r="17" customFormat="false" ht="15" hidden="false" customHeight="false" outlineLevel="0" collapsed="false">
      <c r="A17" s="72" t="n">
        <v>13</v>
      </c>
      <c r="B17" s="72" t="s">
        <v>323</v>
      </c>
      <c r="C17" s="72" t="s">
        <v>139</v>
      </c>
      <c r="D17" s="73" t="s">
        <v>518</v>
      </c>
      <c r="E17" s="73" t="s">
        <v>605</v>
      </c>
      <c r="F17" s="72" t="s">
        <v>606</v>
      </c>
      <c r="G17" s="74" t="n">
        <v>7781805</v>
      </c>
      <c r="H17" s="75" t="s">
        <v>607</v>
      </c>
      <c r="I17" s="72" t="s">
        <v>130</v>
      </c>
    </row>
    <row r="18" customFormat="false" ht="15" hidden="false" customHeight="false" outlineLevel="0" collapsed="false">
      <c r="A18" s="72" t="n">
        <v>14</v>
      </c>
      <c r="B18" s="72" t="s">
        <v>608</v>
      </c>
      <c r="C18" s="72" t="s">
        <v>145</v>
      </c>
      <c r="D18" s="72" t="s">
        <v>588</v>
      </c>
      <c r="E18" s="73" t="s">
        <v>598</v>
      </c>
      <c r="F18" s="72" t="s">
        <v>609</v>
      </c>
      <c r="G18" s="74" t="n">
        <v>69</v>
      </c>
      <c r="H18" s="75" t="s">
        <v>610</v>
      </c>
      <c r="I18" s="73" t="s">
        <v>148</v>
      </c>
    </row>
    <row r="19" customFormat="false" ht="15" hidden="false" customHeight="false" outlineLevel="0" collapsed="false">
      <c r="A19" s="72" t="n">
        <v>15</v>
      </c>
      <c r="B19" s="72" t="s">
        <v>611</v>
      </c>
      <c r="C19" s="72" t="s">
        <v>136</v>
      </c>
      <c r="D19" s="72" t="s">
        <v>612</v>
      </c>
      <c r="E19" s="73" t="s">
        <v>578</v>
      </c>
      <c r="F19" s="72" t="s">
        <v>613</v>
      </c>
      <c r="G19" s="74" t="n">
        <v>5633</v>
      </c>
      <c r="H19" s="75" t="s">
        <v>614</v>
      </c>
      <c r="I19" s="72" t="s">
        <v>130</v>
      </c>
    </row>
    <row r="20" customFormat="false" ht="15" hidden="false" customHeight="false" outlineLevel="0" collapsed="false">
      <c r="A20" s="72" t="n">
        <v>16</v>
      </c>
      <c r="B20" s="72" t="s">
        <v>615</v>
      </c>
      <c r="C20" s="72" t="s">
        <v>126</v>
      </c>
      <c r="D20" s="72" t="s">
        <v>616</v>
      </c>
      <c r="E20" s="73" t="s">
        <v>617</v>
      </c>
      <c r="F20" s="72" t="s">
        <v>618</v>
      </c>
      <c r="G20" s="74" t="n">
        <v>3153</v>
      </c>
      <c r="H20" s="75" t="s">
        <v>619</v>
      </c>
      <c r="I20" s="72" t="s">
        <v>130</v>
      </c>
    </row>
    <row r="21" customFormat="false" ht="15" hidden="false" customHeight="false" outlineLevel="0" collapsed="false">
      <c r="A21" s="72" t="n">
        <v>17</v>
      </c>
      <c r="B21" s="72" t="s">
        <v>620</v>
      </c>
      <c r="C21" s="72" t="s">
        <v>126</v>
      </c>
      <c r="D21" s="72" t="s">
        <v>616</v>
      </c>
      <c r="E21" s="73" t="s">
        <v>617</v>
      </c>
      <c r="F21" s="72" t="s">
        <v>618</v>
      </c>
      <c r="G21" s="74" t="n">
        <v>6237</v>
      </c>
      <c r="H21" s="75" t="s">
        <v>621</v>
      </c>
      <c r="I21" s="72" t="s">
        <v>130</v>
      </c>
    </row>
    <row r="22" customFormat="false" ht="15" hidden="false" customHeight="false" outlineLevel="0" collapsed="false">
      <c r="A22" s="72" t="n">
        <v>18</v>
      </c>
      <c r="B22" s="72" t="s">
        <v>622</v>
      </c>
      <c r="C22" s="72" t="s">
        <v>126</v>
      </c>
      <c r="D22" s="72" t="s">
        <v>616</v>
      </c>
      <c r="E22" s="73" t="s">
        <v>617</v>
      </c>
      <c r="F22" s="72" t="s">
        <v>618</v>
      </c>
      <c r="G22" s="74" t="n">
        <v>5741</v>
      </c>
      <c r="H22" s="75" t="s">
        <v>623</v>
      </c>
      <c r="I22" s="72" t="s">
        <v>130</v>
      </c>
    </row>
    <row r="23" customFormat="false" ht="15" hidden="false" customHeight="false" outlineLevel="0" collapsed="false">
      <c r="A23" s="72" t="n">
        <v>19</v>
      </c>
      <c r="B23" s="72" t="s">
        <v>624</v>
      </c>
      <c r="C23" s="72" t="s">
        <v>126</v>
      </c>
      <c r="D23" s="72" t="s">
        <v>616</v>
      </c>
      <c r="E23" s="73" t="s">
        <v>617</v>
      </c>
      <c r="F23" s="72" t="s">
        <v>618</v>
      </c>
      <c r="G23" s="74" t="n">
        <v>1942</v>
      </c>
      <c r="H23" s="75" t="s">
        <v>625</v>
      </c>
      <c r="I23" s="72" t="s">
        <v>130</v>
      </c>
    </row>
    <row r="24" customFormat="false" ht="15" hidden="false" customHeight="false" outlineLevel="0" collapsed="false">
      <c r="A24" s="72" t="n">
        <v>20</v>
      </c>
      <c r="B24" s="72" t="s">
        <v>626</v>
      </c>
      <c r="C24" s="72" t="s">
        <v>126</v>
      </c>
      <c r="D24" s="72" t="s">
        <v>616</v>
      </c>
      <c r="E24" s="73" t="s">
        <v>617</v>
      </c>
      <c r="F24" s="72" t="s">
        <v>618</v>
      </c>
      <c r="G24" s="74" t="n">
        <v>18029</v>
      </c>
      <c r="H24" s="75" t="s">
        <v>627</v>
      </c>
      <c r="I24" s="72" t="s">
        <v>130</v>
      </c>
    </row>
    <row r="25" customFormat="false" ht="15" hidden="false" customHeight="false" outlineLevel="0" collapsed="false">
      <c r="A25" s="72" t="n">
        <v>21</v>
      </c>
      <c r="B25" s="72" t="s">
        <v>628</v>
      </c>
      <c r="C25" s="72" t="s">
        <v>126</v>
      </c>
      <c r="D25" s="72" t="s">
        <v>616</v>
      </c>
      <c r="E25" s="73" t="s">
        <v>617</v>
      </c>
      <c r="F25" s="72" t="s">
        <v>618</v>
      </c>
      <c r="G25" s="74" t="n">
        <v>30516</v>
      </c>
      <c r="H25" s="75" t="s">
        <v>629</v>
      </c>
      <c r="I25" s="72" t="s">
        <v>130</v>
      </c>
    </row>
    <row r="26" customFormat="false" ht="15" hidden="false" customHeight="false" outlineLevel="0" collapsed="false">
      <c r="A26" s="72" t="n">
        <v>22</v>
      </c>
      <c r="B26" s="72" t="s">
        <v>630</v>
      </c>
      <c r="C26" s="72" t="s">
        <v>126</v>
      </c>
      <c r="D26" s="72" t="s">
        <v>616</v>
      </c>
      <c r="E26" s="73" t="s">
        <v>617</v>
      </c>
      <c r="F26" s="72" t="s">
        <v>618</v>
      </c>
      <c r="G26" s="74" t="n">
        <v>3796</v>
      </c>
      <c r="H26" s="75" t="s">
        <v>631</v>
      </c>
      <c r="I26" s="72" t="s">
        <v>130</v>
      </c>
    </row>
    <row r="27" customFormat="false" ht="15" hidden="false" customHeight="false" outlineLevel="0" collapsed="false">
      <c r="A27" s="72" t="n">
        <v>23</v>
      </c>
      <c r="B27" s="72" t="s">
        <v>632</v>
      </c>
      <c r="C27" s="72" t="s">
        <v>126</v>
      </c>
      <c r="D27" s="72" t="s">
        <v>616</v>
      </c>
      <c r="E27" s="73" t="s">
        <v>617</v>
      </c>
      <c r="F27" s="72" t="s">
        <v>618</v>
      </c>
      <c r="G27" s="74" t="n">
        <v>18851</v>
      </c>
      <c r="H27" s="75" t="s">
        <v>633</v>
      </c>
      <c r="I27" s="72" t="s">
        <v>130</v>
      </c>
    </row>
    <row r="28" customFormat="false" ht="15" hidden="false" customHeight="false" outlineLevel="0" collapsed="false">
      <c r="A28" s="72" t="n">
        <v>24</v>
      </c>
      <c r="B28" s="72" t="s">
        <v>634</v>
      </c>
      <c r="C28" s="72" t="s">
        <v>126</v>
      </c>
      <c r="D28" s="72" t="s">
        <v>616</v>
      </c>
      <c r="E28" s="73" t="s">
        <v>617</v>
      </c>
      <c r="F28" s="72" t="s">
        <v>618</v>
      </c>
      <c r="G28" s="74" t="n">
        <v>1739</v>
      </c>
      <c r="H28" s="75" t="s">
        <v>635</v>
      </c>
      <c r="I28" s="72" t="s">
        <v>130</v>
      </c>
    </row>
    <row r="29" customFormat="false" ht="15" hidden="false" customHeight="false" outlineLevel="0" collapsed="false">
      <c r="A29" s="72" t="n">
        <v>25</v>
      </c>
      <c r="B29" s="72" t="s">
        <v>636</v>
      </c>
      <c r="C29" s="72" t="s">
        <v>126</v>
      </c>
      <c r="D29" s="72" t="s">
        <v>616</v>
      </c>
      <c r="E29" s="73" t="s">
        <v>617</v>
      </c>
      <c r="F29" s="72" t="s">
        <v>618</v>
      </c>
      <c r="G29" s="74" t="n">
        <v>2788</v>
      </c>
      <c r="H29" s="75" t="s">
        <v>637</v>
      </c>
      <c r="I29" s="72" t="s">
        <v>130</v>
      </c>
    </row>
    <row r="30" customFormat="false" ht="15" hidden="false" customHeight="false" outlineLevel="0" collapsed="false">
      <c r="A30" s="72" t="n">
        <v>26</v>
      </c>
      <c r="B30" s="72" t="s">
        <v>638</v>
      </c>
      <c r="C30" s="72" t="s">
        <v>126</v>
      </c>
      <c r="D30" s="72" t="s">
        <v>616</v>
      </c>
      <c r="E30" s="73" t="s">
        <v>617</v>
      </c>
      <c r="F30" s="72" t="s">
        <v>618</v>
      </c>
      <c r="G30" s="74" t="n">
        <v>4716</v>
      </c>
      <c r="H30" s="75" t="s">
        <v>639</v>
      </c>
      <c r="I30" s="72" t="s">
        <v>130</v>
      </c>
    </row>
    <row r="31" customFormat="false" ht="15" hidden="false" customHeight="false" outlineLevel="0" collapsed="false">
      <c r="A31" s="72" t="n">
        <v>27</v>
      </c>
      <c r="B31" s="72" t="s">
        <v>640</v>
      </c>
      <c r="C31" s="72" t="s">
        <v>126</v>
      </c>
      <c r="D31" s="72" t="s">
        <v>616</v>
      </c>
      <c r="E31" s="73" t="s">
        <v>617</v>
      </c>
      <c r="F31" s="72" t="s">
        <v>618</v>
      </c>
      <c r="G31" s="74" t="n">
        <v>14555</v>
      </c>
      <c r="H31" s="75" t="s">
        <v>641</v>
      </c>
      <c r="I31" s="72" t="s">
        <v>130</v>
      </c>
    </row>
    <row r="32" customFormat="false" ht="15" hidden="false" customHeight="false" outlineLevel="0" collapsed="false">
      <c r="A32" s="72" t="n">
        <v>28</v>
      </c>
      <c r="B32" s="72" t="s">
        <v>642</v>
      </c>
      <c r="C32" s="72" t="s">
        <v>126</v>
      </c>
      <c r="D32" s="72" t="s">
        <v>616</v>
      </c>
      <c r="E32" s="73" t="s">
        <v>617</v>
      </c>
      <c r="F32" s="72" t="s">
        <v>618</v>
      </c>
      <c r="G32" s="74" t="n">
        <v>1920</v>
      </c>
      <c r="H32" s="75" t="s">
        <v>643</v>
      </c>
      <c r="I32" s="72" t="s">
        <v>130</v>
      </c>
    </row>
    <row r="33" customFormat="false" ht="15" hidden="false" customHeight="false" outlineLevel="0" collapsed="false">
      <c r="A33" s="72" t="n">
        <v>29</v>
      </c>
      <c r="B33" s="72" t="s">
        <v>644</v>
      </c>
      <c r="C33" s="72" t="s">
        <v>126</v>
      </c>
      <c r="D33" s="72" t="s">
        <v>616</v>
      </c>
      <c r="E33" s="73" t="s">
        <v>617</v>
      </c>
      <c r="F33" s="72" t="s">
        <v>618</v>
      </c>
      <c r="G33" s="74" t="n">
        <v>4193</v>
      </c>
      <c r="H33" s="75" t="s">
        <v>645</v>
      </c>
      <c r="I33" s="72" t="s">
        <v>130</v>
      </c>
    </row>
    <row r="34" customFormat="false" ht="15" hidden="false" customHeight="false" outlineLevel="0" collapsed="false">
      <c r="A34" s="72" t="n">
        <v>30</v>
      </c>
      <c r="B34" s="72" t="s">
        <v>646</v>
      </c>
      <c r="C34" s="72" t="s">
        <v>126</v>
      </c>
      <c r="D34" s="72" t="s">
        <v>616</v>
      </c>
      <c r="E34" s="73" t="s">
        <v>617</v>
      </c>
      <c r="F34" s="72" t="s">
        <v>618</v>
      </c>
      <c r="G34" s="74" t="n">
        <v>2568</v>
      </c>
      <c r="H34" s="75" t="s">
        <v>647</v>
      </c>
      <c r="I34" s="72" t="s">
        <v>130</v>
      </c>
    </row>
    <row r="35" customFormat="false" ht="15" hidden="false" customHeight="false" outlineLevel="0" collapsed="false">
      <c r="A35" s="72" t="n">
        <v>31</v>
      </c>
      <c r="B35" s="72" t="s">
        <v>648</v>
      </c>
      <c r="C35" s="72" t="s">
        <v>126</v>
      </c>
      <c r="D35" s="72" t="s">
        <v>616</v>
      </c>
      <c r="E35" s="73" t="s">
        <v>617</v>
      </c>
      <c r="F35" s="72" t="s">
        <v>618</v>
      </c>
      <c r="G35" s="74" t="n">
        <v>1630</v>
      </c>
      <c r="H35" s="75" t="s">
        <v>649</v>
      </c>
      <c r="I35" s="72" t="s">
        <v>130</v>
      </c>
    </row>
    <row r="36" customFormat="false" ht="15" hidden="false" customHeight="false" outlineLevel="0" collapsed="false">
      <c r="A36" s="72" t="n">
        <v>32</v>
      </c>
      <c r="B36" s="72" t="s">
        <v>650</v>
      </c>
      <c r="C36" s="72" t="s">
        <v>126</v>
      </c>
      <c r="D36" s="72" t="s">
        <v>616</v>
      </c>
      <c r="E36" s="73" t="s">
        <v>617</v>
      </c>
      <c r="F36" s="72" t="s">
        <v>618</v>
      </c>
      <c r="G36" s="74" t="n">
        <v>3049</v>
      </c>
      <c r="H36" s="75" t="s">
        <v>651</v>
      </c>
      <c r="I36" s="72" t="s">
        <v>130</v>
      </c>
    </row>
    <row r="37" customFormat="false" ht="15" hidden="false" customHeight="false" outlineLevel="0" collapsed="false">
      <c r="A37" s="72" t="n">
        <v>33</v>
      </c>
      <c r="B37" s="72" t="s">
        <v>652</v>
      </c>
      <c r="C37" s="72" t="s">
        <v>126</v>
      </c>
      <c r="D37" s="72" t="s">
        <v>616</v>
      </c>
      <c r="E37" s="73" t="s">
        <v>617</v>
      </c>
      <c r="F37" s="72" t="s">
        <v>618</v>
      </c>
      <c r="G37" s="74" t="n">
        <v>3614</v>
      </c>
      <c r="H37" s="75" t="s">
        <v>653</v>
      </c>
      <c r="I37" s="72" t="s">
        <v>130</v>
      </c>
    </row>
    <row r="38" customFormat="false" ht="15" hidden="false" customHeight="false" outlineLevel="0" collapsed="false">
      <c r="A38" s="72" t="n">
        <v>34</v>
      </c>
      <c r="B38" s="72" t="s">
        <v>654</v>
      </c>
      <c r="C38" s="72" t="s">
        <v>126</v>
      </c>
      <c r="D38" s="72" t="s">
        <v>616</v>
      </c>
      <c r="E38" s="73" t="s">
        <v>617</v>
      </c>
      <c r="F38" s="72" t="s">
        <v>618</v>
      </c>
      <c r="G38" s="74" t="n">
        <v>4114</v>
      </c>
      <c r="H38" s="75" t="s">
        <v>655</v>
      </c>
      <c r="I38" s="72" t="s">
        <v>130</v>
      </c>
    </row>
    <row r="39" customFormat="false" ht="15" hidden="false" customHeight="false" outlineLevel="0" collapsed="false">
      <c r="A39" s="72" t="n">
        <v>35</v>
      </c>
      <c r="B39" s="72" t="s">
        <v>656</v>
      </c>
      <c r="C39" s="72" t="s">
        <v>126</v>
      </c>
      <c r="D39" s="72" t="s">
        <v>616</v>
      </c>
      <c r="E39" s="73" t="s">
        <v>617</v>
      </c>
      <c r="F39" s="72" t="s">
        <v>618</v>
      </c>
      <c r="G39" s="74" t="n">
        <v>16402</v>
      </c>
      <c r="H39" s="75" t="s">
        <v>657</v>
      </c>
      <c r="I39" s="72" t="s">
        <v>130</v>
      </c>
    </row>
    <row r="40" customFormat="false" ht="15" hidden="false" customHeight="false" outlineLevel="0" collapsed="false">
      <c r="A40" s="72" t="n">
        <v>36</v>
      </c>
      <c r="B40" s="72" t="s">
        <v>658</v>
      </c>
      <c r="C40" s="72" t="s">
        <v>126</v>
      </c>
      <c r="D40" s="72" t="s">
        <v>616</v>
      </c>
      <c r="E40" s="73" t="s">
        <v>617</v>
      </c>
      <c r="F40" s="72" t="s">
        <v>618</v>
      </c>
      <c r="G40" s="74" t="n">
        <v>4532</v>
      </c>
      <c r="H40" s="75" t="s">
        <v>659</v>
      </c>
      <c r="I40" s="72" t="s">
        <v>130</v>
      </c>
    </row>
    <row r="41" customFormat="false" ht="15" hidden="false" customHeight="false" outlineLevel="0" collapsed="false">
      <c r="A41" s="72" t="n">
        <v>37</v>
      </c>
      <c r="B41" s="72" t="s">
        <v>660</v>
      </c>
      <c r="C41" s="72" t="s">
        <v>126</v>
      </c>
      <c r="D41" s="72" t="s">
        <v>616</v>
      </c>
      <c r="E41" s="73" t="s">
        <v>617</v>
      </c>
      <c r="F41" s="72" t="s">
        <v>618</v>
      </c>
      <c r="G41" s="74" t="n">
        <v>6215</v>
      </c>
      <c r="H41" s="75" t="s">
        <v>661</v>
      </c>
      <c r="I41" s="72" t="s">
        <v>130</v>
      </c>
    </row>
    <row r="42" customFormat="false" ht="15" hidden="false" customHeight="false" outlineLevel="0" collapsed="false">
      <c r="A42" s="72" t="n">
        <v>38</v>
      </c>
      <c r="B42" s="72" t="s">
        <v>662</v>
      </c>
      <c r="C42" s="72" t="s">
        <v>126</v>
      </c>
      <c r="D42" s="72" t="s">
        <v>616</v>
      </c>
      <c r="E42" s="73" t="s">
        <v>617</v>
      </c>
      <c r="F42" s="72" t="s">
        <v>618</v>
      </c>
      <c r="G42" s="74" t="n">
        <v>5759</v>
      </c>
      <c r="H42" s="75" t="s">
        <v>663</v>
      </c>
      <c r="I42" s="72" t="s">
        <v>130</v>
      </c>
    </row>
    <row r="43" customFormat="false" ht="15" hidden="false" customHeight="false" outlineLevel="0" collapsed="false">
      <c r="A43" s="72" t="n">
        <v>39</v>
      </c>
      <c r="B43" s="72" t="s">
        <v>664</v>
      </c>
      <c r="C43" s="72" t="s">
        <v>126</v>
      </c>
      <c r="D43" s="72" t="s">
        <v>616</v>
      </c>
      <c r="E43" s="73" t="s">
        <v>617</v>
      </c>
      <c r="F43" s="72" t="s">
        <v>618</v>
      </c>
      <c r="G43" s="74" t="n">
        <v>45802</v>
      </c>
      <c r="H43" s="75" t="s">
        <v>665</v>
      </c>
      <c r="I43" s="72" t="s">
        <v>130</v>
      </c>
    </row>
    <row r="44" customFormat="false" ht="15" hidden="false" customHeight="false" outlineLevel="0" collapsed="false">
      <c r="A44" s="72" t="n">
        <v>40</v>
      </c>
      <c r="B44" s="72" t="s">
        <v>666</v>
      </c>
      <c r="C44" s="72" t="s">
        <v>133</v>
      </c>
      <c r="D44" s="72" t="s">
        <v>667</v>
      </c>
      <c r="E44" s="73" t="s">
        <v>617</v>
      </c>
      <c r="F44" s="72" t="s">
        <v>618</v>
      </c>
      <c r="G44" s="74" t="n">
        <v>3304</v>
      </c>
      <c r="H44" s="75" t="s">
        <v>668</v>
      </c>
      <c r="I44" s="72" t="s">
        <v>130</v>
      </c>
    </row>
    <row r="45" customFormat="false" ht="15" hidden="false" customHeight="false" outlineLevel="0" collapsed="false">
      <c r="A45" s="72" t="n">
        <v>41</v>
      </c>
      <c r="B45" s="72" t="s">
        <v>669</v>
      </c>
      <c r="C45" s="72" t="s">
        <v>133</v>
      </c>
      <c r="D45" s="72" t="s">
        <v>667</v>
      </c>
      <c r="E45" s="73" t="s">
        <v>617</v>
      </c>
      <c r="F45" s="72" t="s">
        <v>618</v>
      </c>
      <c r="G45" s="74" t="n">
        <v>9891</v>
      </c>
      <c r="H45" s="75" t="s">
        <v>670</v>
      </c>
      <c r="I45" s="72" t="s">
        <v>130</v>
      </c>
    </row>
    <row r="46" customFormat="false" ht="15" hidden="false" customHeight="false" outlineLevel="0" collapsed="false">
      <c r="A46" s="72" t="n">
        <v>42</v>
      </c>
      <c r="B46" s="72" t="s">
        <v>671</v>
      </c>
      <c r="C46" s="72" t="s">
        <v>133</v>
      </c>
      <c r="D46" s="72" t="s">
        <v>667</v>
      </c>
      <c r="E46" s="73" t="s">
        <v>617</v>
      </c>
      <c r="F46" s="72" t="s">
        <v>618</v>
      </c>
      <c r="G46" s="74" t="n">
        <v>2092</v>
      </c>
      <c r="H46" s="75" t="s">
        <v>672</v>
      </c>
      <c r="I46" s="72" t="s">
        <v>130</v>
      </c>
    </row>
    <row r="47" customFormat="false" ht="15" hidden="false" customHeight="false" outlineLevel="0" collapsed="false">
      <c r="A47" s="72" t="n">
        <v>43</v>
      </c>
      <c r="B47" s="72" t="s">
        <v>673</v>
      </c>
      <c r="C47" s="72" t="s">
        <v>133</v>
      </c>
      <c r="D47" s="72" t="s">
        <v>667</v>
      </c>
      <c r="E47" s="73" t="s">
        <v>617</v>
      </c>
      <c r="F47" s="72" t="s">
        <v>618</v>
      </c>
      <c r="G47" s="74" t="n">
        <v>10411</v>
      </c>
      <c r="H47" s="75" t="s">
        <v>674</v>
      </c>
      <c r="I47" s="72" t="s">
        <v>130</v>
      </c>
    </row>
    <row r="48" customFormat="false" ht="15" hidden="false" customHeight="false" outlineLevel="0" collapsed="false">
      <c r="A48" s="72" t="n">
        <v>44</v>
      </c>
      <c r="B48" s="72" t="s">
        <v>675</v>
      </c>
      <c r="C48" s="72" t="s">
        <v>133</v>
      </c>
      <c r="D48" s="72" t="s">
        <v>667</v>
      </c>
      <c r="E48" s="73" t="s">
        <v>617</v>
      </c>
      <c r="F48" s="72" t="s">
        <v>618</v>
      </c>
      <c r="G48" s="74" t="n">
        <v>5202</v>
      </c>
      <c r="H48" s="75" t="s">
        <v>676</v>
      </c>
      <c r="I48" s="72" t="s">
        <v>130</v>
      </c>
    </row>
    <row r="49" customFormat="false" ht="15" hidden="false" customHeight="false" outlineLevel="0" collapsed="false">
      <c r="A49" s="72" t="n">
        <v>45</v>
      </c>
      <c r="B49" s="72" t="s">
        <v>677</v>
      </c>
      <c r="C49" s="72" t="s">
        <v>133</v>
      </c>
      <c r="D49" s="72" t="s">
        <v>667</v>
      </c>
      <c r="E49" s="73" t="s">
        <v>617</v>
      </c>
      <c r="F49" s="72" t="s">
        <v>618</v>
      </c>
      <c r="G49" s="74" t="n">
        <v>2477</v>
      </c>
      <c r="H49" s="75" t="s">
        <v>678</v>
      </c>
      <c r="I49" s="72" t="s">
        <v>130</v>
      </c>
    </row>
    <row r="50" customFormat="false" ht="15" hidden="false" customHeight="false" outlineLevel="0" collapsed="false">
      <c r="A50" s="72" t="n">
        <v>46</v>
      </c>
      <c r="B50" s="72" t="s">
        <v>679</v>
      </c>
      <c r="C50" s="72" t="s">
        <v>133</v>
      </c>
      <c r="D50" s="72" t="s">
        <v>667</v>
      </c>
      <c r="E50" s="73" t="s">
        <v>617</v>
      </c>
      <c r="F50" s="72" t="s">
        <v>618</v>
      </c>
      <c r="G50" s="74" t="n">
        <v>4923</v>
      </c>
      <c r="H50" s="75" t="s">
        <v>680</v>
      </c>
      <c r="I50" s="72" t="s">
        <v>130</v>
      </c>
    </row>
    <row r="51" customFormat="false" ht="15" hidden="false" customHeight="false" outlineLevel="0" collapsed="false">
      <c r="A51" s="72" t="n">
        <v>47</v>
      </c>
      <c r="B51" s="72" t="s">
        <v>681</v>
      </c>
      <c r="C51" s="72" t="s">
        <v>133</v>
      </c>
      <c r="D51" s="72" t="s">
        <v>667</v>
      </c>
      <c r="E51" s="73" t="s">
        <v>617</v>
      </c>
      <c r="F51" s="72" t="s">
        <v>618</v>
      </c>
      <c r="G51" s="74" t="n">
        <v>870</v>
      </c>
      <c r="H51" s="75" t="s">
        <v>682</v>
      </c>
      <c r="I51" s="72" t="s">
        <v>130</v>
      </c>
    </row>
    <row r="52" customFormat="false" ht="15" hidden="false" customHeight="false" outlineLevel="0" collapsed="false">
      <c r="A52" s="72" t="n">
        <v>48</v>
      </c>
      <c r="B52" s="72" t="s">
        <v>683</v>
      </c>
      <c r="C52" s="72" t="s">
        <v>133</v>
      </c>
      <c r="D52" s="72" t="s">
        <v>667</v>
      </c>
      <c r="E52" s="73" t="s">
        <v>617</v>
      </c>
      <c r="F52" s="72" t="s">
        <v>618</v>
      </c>
      <c r="G52" s="74" t="n">
        <v>8018</v>
      </c>
      <c r="H52" s="75" t="s">
        <v>684</v>
      </c>
      <c r="I52" s="72" t="s">
        <v>130</v>
      </c>
    </row>
    <row r="53" customFormat="false" ht="15" hidden="false" customHeight="false" outlineLevel="0" collapsed="false">
      <c r="A53" s="72" t="n">
        <v>49</v>
      </c>
      <c r="B53" s="72" t="s">
        <v>685</v>
      </c>
      <c r="C53" s="72" t="s">
        <v>133</v>
      </c>
      <c r="D53" s="72" t="s">
        <v>667</v>
      </c>
      <c r="E53" s="73" t="s">
        <v>617</v>
      </c>
      <c r="F53" s="72" t="s">
        <v>618</v>
      </c>
      <c r="G53" s="74" t="n">
        <v>5853</v>
      </c>
      <c r="H53" s="75" t="s">
        <v>686</v>
      </c>
      <c r="I53" s="72" t="s">
        <v>130</v>
      </c>
    </row>
    <row r="54" customFormat="false" ht="15" hidden="false" customHeight="false" outlineLevel="0" collapsed="false">
      <c r="A54" s="72" t="n">
        <v>50</v>
      </c>
      <c r="B54" s="72" t="s">
        <v>687</v>
      </c>
      <c r="C54" s="72" t="s">
        <v>133</v>
      </c>
      <c r="D54" s="72" t="s">
        <v>667</v>
      </c>
      <c r="E54" s="73" t="s">
        <v>617</v>
      </c>
      <c r="F54" s="72" t="s">
        <v>618</v>
      </c>
      <c r="G54" s="74" t="n">
        <v>792</v>
      </c>
      <c r="H54" s="75" t="s">
        <v>688</v>
      </c>
      <c r="I54" s="72" t="s">
        <v>130</v>
      </c>
    </row>
    <row r="55" customFormat="false" ht="15" hidden="false" customHeight="false" outlineLevel="0" collapsed="false">
      <c r="A55" s="72" t="n">
        <v>51</v>
      </c>
      <c r="B55" s="72" t="s">
        <v>689</v>
      </c>
      <c r="C55" s="72" t="s">
        <v>133</v>
      </c>
      <c r="D55" s="72" t="s">
        <v>667</v>
      </c>
      <c r="E55" s="73" t="s">
        <v>617</v>
      </c>
      <c r="F55" s="72" t="s">
        <v>618</v>
      </c>
      <c r="G55" s="74" t="n">
        <v>5271</v>
      </c>
      <c r="H55" s="75" t="s">
        <v>690</v>
      </c>
      <c r="I55" s="72" t="s">
        <v>130</v>
      </c>
    </row>
    <row r="56" customFormat="false" ht="15" hidden="false" customHeight="false" outlineLevel="0" collapsed="false">
      <c r="A56" s="72" t="n">
        <v>52</v>
      </c>
      <c r="B56" s="72" t="s">
        <v>691</v>
      </c>
      <c r="C56" s="72" t="s">
        <v>133</v>
      </c>
      <c r="D56" s="72" t="s">
        <v>667</v>
      </c>
      <c r="E56" s="73" t="s">
        <v>617</v>
      </c>
      <c r="F56" s="72" t="s">
        <v>618</v>
      </c>
      <c r="G56" s="74" t="n">
        <v>2402</v>
      </c>
      <c r="H56" s="75" t="s">
        <v>692</v>
      </c>
      <c r="I56" s="72" t="s">
        <v>130</v>
      </c>
    </row>
    <row r="57" customFormat="false" ht="15" hidden="false" customHeight="false" outlineLevel="0" collapsed="false">
      <c r="A57" s="72" t="n">
        <v>53</v>
      </c>
      <c r="B57" s="72" t="s">
        <v>693</v>
      </c>
      <c r="C57" s="72" t="s">
        <v>133</v>
      </c>
      <c r="D57" s="72" t="s">
        <v>667</v>
      </c>
      <c r="E57" s="73" t="s">
        <v>617</v>
      </c>
      <c r="F57" s="72" t="s">
        <v>618</v>
      </c>
      <c r="G57" s="74" t="n">
        <v>2706</v>
      </c>
      <c r="H57" s="75" t="s">
        <v>694</v>
      </c>
      <c r="I57" s="72" t="s">
        <v>130</v>
      </c>
    </row>
    <row r="58" customFormat="false" ht="15" hidden="false" customHeight="false" outlineLevel="0" collapsed="false">
      <c r="A58" s="72" t="n">
        <v>54</v>
      </c>
      <c r="B58" s="72" t="s">
        <v>695</v>
      </c>
      <c r="C58" s="72" t="s">
        <v>133</v>
      </c>
      <c r="D58" s="72" t="s">
        <v>667</v>
      </c>
      <c r="E58" s="73" t="s">
        <v>617</v>
      </c>
      <c r="F58" s="72" t="s">
        <v>618</v>
      </c>
      <c r="G58" s="74" t="n">
        <v>15390</v>
      </c>
      <c r="H58" s="75" t="s">
        <v>696</v>
      </c>
      <c r="I58" s="72" t="s">
        <v>130</v>
      </c>
    </row>
    <row r="59" customFormat="false" ht="15" hidden="false" customHeight="false" outlineLevel="0" collapsed="false">
      <c r="A59" s="72" t="n">
        <v>55</v>
      </c>
      <c r="B59" s="72" t="s">
        <v>697</v>
      </c>
      <c r="C59" s="72" t="s">
        <v>133</v>
      </c>
      <c r="D59" s="72" t="s">
        <v>667</v>
      </c>
      <c r="E59" s="73" t="s">
        <v>617</v>
      </c>
      <c r="F59" s="72" t="s">
        <v>618</v>
      </c>
      <c r="G59" s="74" t="n">
        <v>2436</v>
      </c>
      <c r="H59" s="75" t="s">
        <v>698</v>
      </c>
      <c r="I59" s="72" t="s">
        <v>130</v>
      </c>
    </row>
    <row r="60" customFormat="false" ht="15" hidden="false" customHeight="false" outlineLevel="0" collapsed="false">
      <c r="A60" s="72" t="n">
        <v>56</v>
      </c>
      <c r="B60" s="72" t="s">
        <v>699</v>
      </c>
      <c r="C60" s="72" t="s">
        <v>133</v>
      </c>
      <c r="D60" s="72" t="s">
        <v>667</v>
      </c>
      <c r="E60" s="73" t="s">
        <v>617</v>
      </c>
      <c r="F60" s="72" t="s">
        <v>618</v>
      </c>
      <c r="G60" s="74" t="n">
        <v>2793</v>
      </c>
      <c r="H60" s="75" t="s">
        <v>700</v>
      </c>
      <c r="I60" s="72" t="s">
        <v>130</v>
      </c>
    </row>
    <row r="61" customFormat="false" ht="15" hidden="false" customHeight="false" outlineLevel="0" collapsed="false">
      <c r="A61" s="72" t="n">
        <v>57</v>
      </c>
      <c r="B61" s="72" t="s">
        <v>701</v>
      </c>
      <c r="C61" s="72" t="s">
        <v>133</v>
      </c>
      <c r="D61" s="72" t="s">
        <v>667</v>
      </c>
      <c r="E61" s="73" t="s">
        <v>617</v>
      </c>
      <c r="F61" s="72" t="s">
        <v>618</v>
      </c>
      <c r="G61" s="74" t="n">
        <v>4480</v>
      </c>
      <c r="H61" s="75" t="s">
        <v>702</v>
      </c>
      <c r="I61" s="72" t="s">
        <v>130</v>
      </c>
    </row>
    <row r="62" customFormat="false" ht="15" hidden="false" customHeight="false" outlineLevel="0" collapsed="false">
      <c r="A62" s="72" t="n">
        <v>58</v>
      </c>
      <c r="B62" s="72" t="s">
        <v>703</v>
      </c>
      <c r="C62" s="72" t="s">
        <v>133</v>
      </c>
      <c r="D62" s="72" t="s">
        <v>667</v>
      </c>
      <c r="E62" s="73" t="s">
        <v>617</v>
      </c>
      <c r="F62" s="72" t="s">
        <v>618</v>
      </c>
      <c r="G62" s="74" t="n">
        <v>1706</v>
      </c>
      <c r="H62" s="75" t="s">
        <v>704</v>
      </c>
      <c r="I62" s="72" t="s">
        <v>130</v>
      </c>
    </row>
    <row r="63" customFormat="false" ht="15" hidden="false" customHeight="false" outlineLevel="0" collapsed="false">
      <c r="A63" s="72" t="n">
        <v>59</v>
      </c>
      <c r="B63" s="72" t="s">
        <v>705</v>
      </c>
      <c r="C63" s="72" t="s">
        <v>133</v>
      </c>
      <c r="D63" s="72" t="s">
        <v>667</v>
      </c>
      <c r="E63" s="73" t="s">
        <v>617</v>
      </c>
      <c r="F63" s="72" t="s">
        <v>618</v>
      </c>
      <c r="G63" s="74" t="n">
        <v>7004</v>
      </c>
      <c r="H63" s="75" t="s">
        <v>706</v>
      </c>
      <c r="I63" s="72" t="s">
        <v>130</v>
      </c>
    </row>
    <row r="64" customFormat="false" ht="15" hidden="false" customHeight="false" outlineLevel="0" collapsed="false">
      <c r="A64" s="72" t="n">
        <v>60</v>
      </c>
      <c r="B64" s="72" t="s">
        <v>707</v>
      </c>
      <c r="C64" s="72" t="s">
        <v>133</v>
      </c>
      <c r="D64" s="72" t="s">
        <v>667</v>
      </c>
      <c r="E64" s="73" t="s">
        <v>617</v>
      </c>
      <c r="F64" s="72" t="s">
        <v>618</v>
      </c>
      <c r="G64" s="74" t="n">
        <v>4203</v>
      </c>
      <c r="H64" s="75" t="s">
        <v>708</v>
      </c>
      <c r="I64" s="72" t="s">
        <v>130</v>
      </c>
    </row>
    <row r="65" customFormat="false" ht="15" hidden="false" customHeight="false" outlineLevel="0" collapsed="false">
      <c r="A65" s="72" t="n">
        <v>61</v>
      </c>
      <c r="B65" s="72" t="s">
        <v>709</v>
      </c>
      <c r="C65" s="72" t="s">
        <v>133</v>
      </c>
      <c r="D65" s="72" t="s">
        <v>667</v>
      </c>
      <c r="E65" s="73" t="s">
        <v>617</v>
      </c>
      <c r="F65" s="72" t="s">
        <v>618</v>
      </c>
      <c r="G65" s="74" t="n">
        <v>8188</v>
      </c>
      <c r="H65" s="75" t="s">
        <v>710</v>
      </c>
      <c r="I65" s="72" t="s">
        <v>130</v>
      </c>
    </row>
    <row r="66" customFormat="false" ht="15" hidden="false" customHeight="false" outlineLevel="0" collapsed="false">
      <c r="A66" s="72" t="n">
        <v>62</v>
      </c>
      <c r="B66" s="72" t="s">
        <v>711</v>
      </c>
      <c r="C66" s="72" t="s">
        <v>133</v>
      </c>
      <c r="D66" s="72" t="s">
        <v>667</v>
      </c>
      <c r="E66" s="73" t="s">
        <v>617</v>
      </c>
      <c r="F66" s="72" t="s">
        <v>618</v>
      </c>
      <c r="G66" s="74" t="n">
        <v>20896</v>
      </c>
      <c r="H66" s="75" t="s">
        <v>712</v>
      </c>
      <c r="I66" s="72" t="s">
        <v>130</v>
      </c>
    </row>
    <row r="67" customFormat="false" ht="15" hidden="false" customHeight="false" outlineLevel="0" collapsed="false">
      <c r="A67" s="72" t="n">
        <v>63</v>
      </c>
      <c r="B67" s="72" t="s">
        <v>713</v>
      </c>
      <c r="C67" s="72" t="s">
        <v>136</v>
      </c>
      <c r="D67" s="72" t="s">
        <v>612</v>
      </c>
      <c r="E67" s="73" t="s">
        <v>578</v>
      </c>
      <c r="F67" s="72" t="s">
        <v>613</v>
      </c>
      <c r="G67" s="74" t="n">
        <v>1734</v>
      </c>
      <c r="H67" s="75" t="s">
        <v>714</v>
      </c>
      <c r="I67" s="72" t="s">
        <v>130</v>
      </c>
    </row>
    <row r="68" customFormat="false" ht="15" hidden="false" customHeight="false" outlineLevel="0" collapsed="false">
      <c r="A68" s="72" t="n">
        <v>64</v>
      </c>
      <c r="B68" s="72" t="s">
        <v>715</v>
      </c>
      <c r="C68" s="72" t="s">
        <v>136</v>
      </c>
      <c r="D68" s="72" t="s">
        <v>612</v>
      </c>
      <c r="E68" s="73" t="s">
        <v>578</v>
      </c>
      <c r="F68" s="72" t="s">
        <v>613</v>
      </c>
      <c r="G68" s="74" t="n">
        <v>1730</v>
      </c>
      <c r="H68" s="75" t="s">
        <v>716</v>
      </c>
      <c r="I68" s="72" t="s">
        <v>130</v>
      </c>
    </row>
    <row r="69" customFormat="false" ht="15" hidden="false" customHeight="false" outlineLevel="0" collapsed="false">
      <c r="A69" s="72" t="n">
        <v>65</v>
      </c>
      <c r="B69" s="72" t="s">
        <v>717</v>
      </c>
      <c r="C69" s="72" t="s">
        <v>136</v>
      </c>
      <c r="D69" s="72" t="s">
        <v>612</v>
      </c>
      <c r="E69" s="73" t="s">
        <v>578</v>
      </c>
      <c r="F69" s="72" t="s">
        <v>613</v>
      </c>
      <c r="G69" s="74" t="n">
        <v>1210</v>
      </c>
      <c r="H69" s="75" t="s">
        <v>718</v>
      </c>
      <c r="I69" s="72" t="s">
        <v>130</v>
      </c>
    </row>
    <row r="70" customFormat="false" ht="15" hidden="false" customHeight="false" outlineLevel="0" collapsed="false">
      <c r="A70" s="72" t="n">
        <v>66</v>
      </c>
      <c r="B70" s="72" t="s">
        <v>719</v>
      </c>
      <c r="C70" s="72" t="s">
        <v>136</v>
      </c>
      <c r="D70" s="72" t="s">
        <v>612</v>
      </c>
      <c r="E70" s="73" t="s">
        <v>578</v>
      </c>
      <c r="F70" s="72" t="s">
        <v>613</v>
      </c>
      <c r="G70" s="74" t="n">
        <v>619</v>
      </c>
      <c r="H70" s="75" t="s">
        <v>720</v>
      </c>
      <c r="I70" s="72" t="s">
        <v>130</v>
      </c>
    </row>
    <row r="71" customFormat="false" ht="15" hidden="false" customHeight="false" outlineLevel="0" collapsed="false">
      <c r="A71" s="72" t="n">
        <v>67</v>
      </c>
      <c r="B71" s="72" t="s">
        <v>721</v>
      </c>
      <c r="C71" s="72" t="s">
        <v>136</v>
      </c>
      <c r="D71" s="72" t="s">
        <v>612</v>
      </c>
      <c r="E71" s="73" t="s">
        <v>722</v>
      </c>
      <c r="F71" s="72" t="s">
        <v>723</v>
      </c>
      <c r="G71" s="74" t="n">
        <v>67060</v>
      </c>
      <c r="H71" s="75" t="s">
        <v>724</v>
      </c>
      <c r="I71" s="72" t="s">
        <v>130</v>
      </c>
    </row>
    <row r="72" customFormat="false" ht="15" hidden="false" customHeight="false" outlineLevel="0" collapsed="false">
      <c r="A72" s="72" t="n">
        <v>68</v>
      </c>
      <c r="B72" s="72" t="s">
        <v>725</v>
      </c>
      <c r="C72" s="72" t="s">
        <v>136</v>
      </c>
      <c r="D72" s="72" t="s">
        <v>612</v>
      </c>
      <c r="E72" s="73" t="s">
        <v>722</v>
      </c>
      <c r="F72" s="72" t="s">
        <v>723</v>
      </c>
      <c r="G72" s="74" t="n">
        <v>186403</v>
      </c>
      <c r="H72" s="75" t="s">
        <v>726</v>
      </c>
      <c r="I72" s="72" t="s">
        <v>130</v>
      </c>
    </row>
    <row r="73" customFormat="false" ht="15" hidden="false" customHeight="false" outlineLevel="0" collapsed="false">
      <c r="A73" s="72" t="n">
        <v>69</v>
      </c>
      <c r="B73" s="72" t="s">
        <v>727</v>
      </c>
      <c r="C73" s="72" t="s">
        <v>136</v>
      </c>
      <c r="D73" s="72" t="s">
        <v>612</v>
      </c>
      <c r="E73" s="73" t="s">
        <v>578</v>
      </c>
      <c r="F73" s="72" t="s">
        <v>613</v>
      </c>
      <c r="G73" s="74" t="n">
        <v>676</v>
      </c>
      <c r="H73" s="75" t="s">
        <v>728</v>
      </c>
      <c r="I73" s="72" t="s">
        <v>130</v>
      </c>
    </row>
    <row r="74" customFormat="false" ht="15" hidden="false" customHeight="false" outlineLevel="0" collapsed="false">
      <c r="A74" s="72" t="n">
        <v>70</v>
      </c>
      <c r="B74" s="72" t="s">
        <v>729</v>
      </c>
      <c r="C74" s="72" t="s">
        <v>136</v>
      </c>
      <c r="D74" s="72" t="s">
        <v>612</v>
      </c>
      <c r="E74" s="73" t="s">
        <v>578</v>
      </c>
      <c r="F74" s="72" t="s">
        <v>613</v>
      </c>
      <c r="G74" s="74" t="n">
        <v>1234</v>
      </c>
      <c r="H74" s="75" t="s">
        <v>730</v>
      </c>
      <c r="I74" s="72" t="s">
        <v>130</v>
      </c>
    </row>
    <row r="75" customFormat="false" ht="15" hidden="false" customHeight="false" outlineLevel="0" collapsed="false">
      <c r="A75" s="72" t="n">
        <v>71</v>
      </c>
      <c r="B75" s="72" t="s">
        <v>731</v>
      </c>
      <c r="C75" s="72" t="s">
        <v>136</v>
      </c>
      <c r="D75" s="72" t="s">
        <v>612</v>
      </c>
      <c r="E75" s="73" t="s">
        <v>578</v>
      </c>
      <c r="F75" s="72" t="s">
        <v>613</v>
      </c>
      <c r="G75" s="74" t="n">
        <v>457</v>
      </c>
      <c r="H75" s="75" t="s">
        <v>732</v>
      </c>
      <c r="I75" s="72" t="s">
        <v>130</v>
      </c>
    </row>
    <row r="76" customFormat="false" ht="15" hidden="false" customHeight="false" outlineLevel="0" collapsed="false">
      <c r="A76" s="72" t="n">
        <v>72</v>
      </c>
      <c r="B76" s="72" t="s">
        <v>733</v>
      </c>
      <c r="C76" s="72" t="s">
        <v>136</v>
      </c>
      <c r="D76" s="72" t="s">
        <v>612</v>
      </c>
      <c r="E76" s="73" t="s">
        <v>578</v>
      </c>
      <c r="F76" s="72" t="s">
        <v>613</v>
      </c>
      <c r="G76" s="74" t="n">
        <v>1028</v>
      </c>
      <c r="H76" s="75" t="s">
        <v>734</v>
      </c>
      <c r="I76" s="72" t="s">
        <v>130</v>
      </c>
    </row>
    <row r="77" customFormat="false" ht="15" hidden="false" customHeight="false" outlineLevel="0" collapsed="false">
      <c r="A77" s="72" t="n">
        <v>73</v>
      </c>
      <c r="B77" s="72" t="s">
        <v>735</v>
      </c>
      <c r="C77" s="72" t="s">
        <v>150</v>
      </c>
      <c r="D77" s="72" t="s">
        <v>736</v>
      </c>
      <c r="E77" s="73" t="s">
        <v>737</v>
      </c>
      <c r="F77" s="72" t="s">
        <v>618</v>
      </c>
      <c r="G77" s="74" t="n">
        <v>19339</v>
      </c>
      <c r="H77" s="75" t="s">
        <v>738</v>
      </c>
      <c r="I77" s="73" t="s">
        <v>152</v>
      </c>
    </row>
    <row r="78" customFormat="false" ht="15" hidden="false" customHeight="false" outlineLevel="0" collapsed="false">
      <c r="A78" s="72" t="n">
        <v>74</v>
      </c>
      <c r="B78" s="72" t="s">
        <v>739</v>
      </c>
      <c r="C78" s="72" t="s">
        <v>150</v>
      </c>
      <c r="D78" s="72" t="s">
        <v>736</v>
      </c>
      <c r="E78" s="73" t="s">
        <v>737</v>
      </c>
      <c r="F78" s="72" t="s">
        <v>618</v>
      </c>
      <c r="G78" s="74" t="n">
        <v>24159</v>
      </c>
      <c r="H78" s="75" t="s">
        <v>740</v>
      </c>
      <c r="I78" s="73" t="s">
        <v>152</v>
      </c>
    </row>
    <row r="79" customFormat="false" ht="15" hidden="false" customHeight="false" outlineLevel="0" collapsed="false">
      <c r="A79" s="72" t="n">
        <v>75</v>
      </c>
      <c r="B79" s="72" t="s">
        <v>741</v>
      </c>
      <c r="C79" s="72" t="s">
        <v>150</v>
      </c>
      <c r="D79" s="72" t="s">
        <v>736</v>
      </c>
      <c r="E79" s="73" t="s">
        <v>737</v>
      </c>
      <c r="F79" s="72" t="s">
        <v>618</v>
      </c>
      <c r="G79" s="74" t="n">
        <v>7042</v>
      </c>
      <c r="H79" s="75" t="s">
        <v>742</v>
      </c>
      <c r="I79" s="73" t="s">
        <v>152</v>
      </c>
    </row>
    <row r="80" customFormat="false" ht="15" hidden="false" customHeight="false" outlineLevel="0" collapsed="false">
      <c r="A80" s="72" t="n">
        <v>76</v>
      </c>
      <c r="B80" s="72" t="s">
        <v>743</v>
      </c>
      <c r="C80" s="72" t="s">
        <v>150</v>
      </c>
      <c r="D80" s="72" t="s">
        <v>736</v>
      </c>
      <c r="E80" s="73" t="s">
        <v>737</v>
      </c>
      <c r="F80" s="72" t="s">
        <v>618</v>
      </c>
      <c r="G80" s="74" t="n">
        <v>5982</v>
      </c>
      <c r="H80" s="75" t="s">
        <v>744</v>
      </c>
      <c r="I80" s="73" t="s">
        <v>152</v>
      </c>
    </row>
    <row r="81" customFormat="false" ht="15" hidden="false" customHeight="false" outlineLevel="0" collapsed="false">
      <c r="A81" s="72" t="n">
        <v>77</v>
      </c>
      <c r="B81" s="72" t="s">
        <v>745</v>
      </c>
      <c r="C81" s="72" t="s">
        <v>150</v>
      </c>
      <c r="D81" s="72" t="s">
        <v>736</v>
      </c>
      <c r="E81" s="73" t="s">
        <v>737</v>
      </c>
      <c r="F81" s="72" t="s">
        <v>618</v>
      </c>
      <c r="G81" s="74" t="n">
        <v>1067</v>
      </c>
      <c r="H81" s="75" t="s">
        <v>746</v>
      </c>
      <c r="I81" s="73" t="s">
        <v>152</v>
      </c>
    </row>
    <row r="82" customFormat="false" ht="15" hidden="false" customHeight="false" outlineLevel="0" collapsed="false">
      <c r="A82" s="72" t="n">
        <v>78</v>
      </c>
      <c r="B82" s="72" t="s">
        <v>747</v>
      </c>
      <c r="C82" s="72" t="s">
        <v>150</v>
      </c>
      <c r="D82" s="72" t="s">
        <v>736</v>
      </c>
      <c r="E82" s="73" t="s">
        <v>737</v>
      </c>
      <c r="F82" s="72" t="s">
        <v>618</v>
      </c>
      <c r="G82" s="74" t="n">
        <v>6029</v>
      </c>
      <c r="H82" s="75" t="s">
        <v>748</v>
      </c>
      <c r="I82" s="73" t="s">
        <v>152</v>
      </c>
    </row>
    <row r="83" customFormat="false" ht="15" hidden="false" customHeight="false" outlineLevel="0" collapsed="false">
      <c r="A83" s="72" t="n">
        <v>79</v>
      </c>
      <c r="B83" s="72" t="s">
        <v>749</v>
      </c>
      <c r="C83" s="72" t="s">
        <v>150</v>
      </c>
      <c r="D83" s="72" t="s">
        <v>736</v>
      </c>
      <c r="E83" s="73" t="s">
        <v>737</v>
      </c>
      <c r="F83" s="72" t="s">
        <v>618</v>
      </c>
      <c r="G83" s="74" t="n">
        <v>1734</v>
      </c>
      <c r="H83" s="75" t="s">
        <v>750</v>
      </c>
      <c r="I83" s="73" t="s">
        <v>152</v>
      </c>
    </row>
    <row r="84" customFormat="false" ht="15" hidden="false" customHeight="false" outlineLevel="0" collapsed="false">
      <c r="A84" s="72" t="n">
        <v>80</v>
      </c>
      <c r="B84" s="72" t="s">
        <v>751</v>
      </c>
      <c r="C84" s="72" t="s">
        <v>150</v>
      </c>
      <c r="D84" s="72" t="s">
        <v>736</v>
      </c>
      <c r="E84" s="73" t="s">
        <v>737</v>
      </c>
      <c r="F84" s="72" t="s">
        <v>618</v>
      </c>
      <c r="G84" s="74" t="n">
        <v>2162</v>
      </c>
      <c r="H84" s="75" t="s">
        <v>752</v>
      </c>
      <c r="I84" s="73" t="s">
        <v>152</v>
      </c>
    </row>
    <row r="85" customFormat="false" ht="15" hidden="false" customHeight="false" outlineLevel="0" collapsed="false">
      <c r="A85" s="72" t="n">
        <v>81</v>
      </c>
      <c r="B85" s="72" t="s">
        <v>753</v>
      </c>
      <c r="C85" s="72" t="s">
        <v>150</v>
      </c>
      <c r="D85" s="72" t="s">
        <v>736</v>
      </c>
      <c r="E85" s="73" t="s">
        <v>737</v>
      </c>
      <c r="F85" s="72" t="s">
        <v>618</v>
      </c>
      <c r="G85" s="74" t="n">
        <v>17307</v>
      </c>
      <c r="H85" s="75" t="s">
        <v>754</v>
      </c>
      <c r="I85" s="73" t="s">
        <v>152</v>
      </c>
    </row>
    <row r="86" customFormat="false" ht="15" hidden="false" customHeight="false" outlineLevel="0" collapsed="false">
      <c r="A86" s="72" t="n">
        <v>82</v>
      </c>
      <c r="B86" s="72" t="s">
        <v>755</v>
      </c>
      <c r="C86" s="72" t="s">
        <v>150</v>
      </c>
      <c r="D86" s="72" t="s">
        <v>736</v>
      </c>
      <c r="E86" s="73" t="s">
        <v>737</v>
      </c>
      <c r="F86" s="72" t="s">
        <v>618</v>
      </c>
      <c r="G86" s="74" t="n">
        <v>17778</v>
      </c>
      <c r="H86" s="75" t="s">
        <v>756</v>
      </c>
      <c r="I86" s="73" t="s">
        <v>152</v>
      </c>
    </row>
    <row r="87" customFormat="false" ht="15" hidden="false" customHeight="false" outlineLevel="0" collapsed="false">
      <c r="A87" s="72" t="n">
        <v>83</v>
      </c>
      <c r="B87" s="72" t="s">
        <v>757</v>
      </c>
      <c r="C87" s="72" t="s">
        <v>150</v>
      </c>
      <c r="D87" s="72" t="s">
        <v>736</v>
      </c>
      <c r="E87" s="73" t="s">
        <v>737</v>
      </c>
      <c r="F87" s="72" t="s">
        <v>618</v>
      </c>
      <c r="G87" s="74" t="n">
        <v>3390</v>
      </c>
      <c r="H87" s="75" t="s">
        <v>758</v>
      </c>
      <c r="I87" s="73" t="s">
        <v>152</v>
      </c>
    </row>
    <row r="88" customFormat="false" ht="15" hidden="false" customHeight="false" outlineLevel="0" collapsed="false">
      <c r="A88" s="72" t="n">
        <v>84</v>
      </c>
      <c r="B88" s="72" t="s">
        <v>759</v>
      </c>
      <c r="C88" s="72" t="s">
        <v>150</v>
      </c>
      <c r="D88" s="72" t="s">
        <v>736</v>
      </c>
      <c r="E88" s="73" t="s">
        <v>737</v>
      </c>
      <c r="F88" s="72" t="s">
        <v>618</v>
      </c>
      <c r="G88" s="74" t="n">
        <v>3146</v>
      </c>
      <c r="H88" s="75" t="s">
        <v>760</v>
      </c>
      <c r="I88" s="73" t="s">
        <v>152</v>
      </c>
    </row>
    <row r="89" customFormat="false" ht="15" hidden="false" customHeight="false" outlineLevel="0" collapsed="false">
      <c r="A89" s="72" t="n">
        <v>85</v>
      </c>
      <c r="B89" s="72" t="s">
        <v>761</v>
      </c>
      <c r="C89" s="72" t="s">
        <v>150</v>
      </c>
      <c r="D89" s="72" t="s">
        <v>736</v>
      </c>
      <c r="E89" s="73" t="s">
        <v>737</v>
      </c>
      <c r="F89" s="72" t="s">
        <v>618</v>
      </c>
      <c r="G89" s="74" t="n">
        <v>1351</v>
      </c>
      <c r="H89" s="75" t="s">
        <v>762</v>
      </c>
      <c r="I89" s="73" t="s">
        <v>152</v>
      </c>
    </row>
    <row r="90" customFormat="false" ht="15" hidden="false" customHeight="false" outlineLevel="0" collapsed="false">
      <c r="A90" s="72" t="n">
        <v>86</v>
      </c>
      <c r="B90" s="72" t="s">
        <v>763</v>
      </c>
      <c r="C90" s="72" t="s">
        <v>150</v>
      </c>
      <c r="D90" s="72" t="s">
        <v>736</v>
      </c>
      <c r="E90" s="73" t="s">
        <v>737</v>
      </c>
      <c r="F90" s="72" t="s">
        <v>618</v>
      </c>
      <c r="G90" s="74" t="n">
        <v>5121</v>
      </c>
      <c r="H90" s="75" t="s">
        <v>764</v>
      </c>
      <c r="I90" s="73" t="s">
        <v>152</v>
      </c>
    </row>
    <row r="91" customFormat="false" ht="15" hidden="false" customHeight="false" outlineLevel="0" collapsed="false">
      <c r="A91" s="72" t="n">
        <v>87</v>
      </c>
      <c r="B91" s="72" t="s">
        <v>765</v>
      </c>
      <c r="C91" s="72" t="s">
        <v>150</v>
      </c>
      <c r="D91" s="72" t="s">
        <v>736</v>
      </c>
      <c r="E91" s="73" t="s">
        <v>737</v>
      </c>
      <c r="F91" s="72" t="s">
        <v>618</v>
      </c>
      <c r="G91" s="74" t="n">
        <v>2917</v>
      </c>
      <c r="H91" s="75" t="s">
        <v>766</v>
      </c>
      <c r="I91" s="73" t="s">
        <v>152</v>
      </c>
    </row>
    <row r="92" customFormat="false" ht="15" hidden="false" customHeight="false" outlineLevel="0" collapsed="false">
      <c r="A92" s="72" t="n">
        <v>88</v>
      </c>
      <c r="B92" s="72" t="s">
        <v>767</v>
      </c>
      <c r="C92" s="72" t="s">
        <v>150</v>
      </c>
      <c r="D92" s="72" t="s">
        <v>736</v>
      </c>
      <c r="E92" s="73" t="s">
        <v>737</v>
      </c>
      <c r="F92" s="72" t="s">
        <v>618</v>
      </c>
      <c r="G92" s="74" t="n">
        <v>7107</v>
      </c>
      <c r="H92" s="75" t="s">
        <v>768</v>
      </c>
      <c r="I92" s="73" t="s">
        <v>152</v>
      </c>
    </row>
    <row r="93" customFormat="false" ht="15" hidden="false" customHeight="false" outlineLevel="0" collapsed="false">
      <c r="A93" s="72" t="n">
        <v>89</v>
      </c>
      <c r="B93" s="72" t="s">
        <v>769</v>
      </c>
      <c r="C93" s="72" t="s">
        <v>150</v>
      </c>
      <c r="D93" s="72" t="s">
        <v>736</v>
      </c>
      <c r="E93" s="73" t="s">
        <v>737</v>
      </c>
      <c r="F93" s="72" t="s">
        <v>618</v>
      </c>
      <c r="G93" s="74" t="n">
        <v>4406</v>
      </c>
      <c r="H93" s="75" t="s">
        <v>770</v>
      </c>
      <c r="I93" s="73" t="s">
        <v>152</v>
      </c>
    </row>
    <row r="94" customFormat="false" ht="15" hidden="false" customHeight="false" outlineLevel="0" collapsed="false">
      <c r="A94" s="72" t="n">
        <v>90</v>
      </c>
      <c r="B94" s="72" t="s">
        <v>771</v>
      </c>
      <c r="C94" s="72" t="s">
        <v>150</v>
      </c>
      <c r="D94" s="72" t="s">
        <v>736</v>
      </c>
      <c r="E94" s="73" t="s">
        <v>737</v>
      </c>
      <c r="F94" s="72" t="s">
        <v>618</v>
      </c>
      <c r="G94" s="74" t="n">
        <v>24888</v>
      </c>
      <c r="H94" s="75" t="s">
        <v>772</v>
      </c>
      <c r="I94" s="73" t="s">
        <v>152</v>
      </c>
    </row>
    <row r="95" customFormat="false" ht="15" hidden="false" customHeight="false" outlineLevel="0" collapsed="false">
      <c r="A95" s="72" t="n">
        <v>91</v>
      </c>
      <c r="B95" s="72" t="s">
        <v>773</v>
      </c>
      <c r="C95" s="72" t="s">
        <v>150</v>
      </c>
      <c r="D95" s="72" t="s">
        <v>736</v>
      </c>
      <c r="E95" s="73" t="s">
        <v>737</v>
      </c>
      <c r="F95" s="72" t="s">
        <v>618</v>
      </c>
      <c r="G95" s="74" t="n">
        <v>1601</v>
      </c>
      <c r="H95" s="75" t="s">
        <v>774</v>
      </c>
      <c r="I95" s="73" t="s">
        <v>152</v>
      </c>
    </row>
    <row r="96" customFormat="false" ht="15" hidden="false" customHeight="false" outlineLevel="0" collapsed="false">
      <c r="A96" s="72" t="n">
        <v>92</v>
      </c>
      <c r="B96" s="72" t="s">
        <v>775</v>
      </c>
      <c r="C96" s="72" t="s">
        <v>150</v>
      </c>
      <c r="D96" s="72" t="s">
        <v>736</v>
      </c>
      <c r="E96" s="73" t="s">
        <v>737</v>
      </c>
      <c r="F96" s="72" t="s">
        <v>618</v>
      </c>
      <c r="G96" s="74" t="n">
        <v>6459</v>
      </c>
      <c r="H96" s="75" t="s">
        <v>776</v>
      </c>
      <c r="I96" s="73" t="s">
        <v>152</v>
      </c>
    </row>
    <row r="97" customFormat="false" ht="15" hidden="false" customHeight="false" outlineLevel="0" collapsed="false">
      <c r="A97" s="72" t="n">
        <v>93</v>
      </c>
      <c r="B97" s="72" t="s">
        <v>777</v>
      </c>
      <c r="C97" s="72" t="s">
        <v>150</v>
      </c>
      <c r="D97" s="72" t="s">
        <v>736</v>
      </c>
      <c r="E97" s="73" t="s">
        <v>737</v>
      </c>
      <c r="F97" s="72" t="s">
        <v>618</v>
      </c>
      <c r="G97" s="74" t="n">
        <v>10095</v>
      </c>
      <c r="H97" s="75" t="s">
        <v>778</v>
      </c>
      <c r="I97" s="73" t="s">
        <v>152</v>
      </c>
    </row>
    <row r="98" customFormat="false" ht="15" hidden="false" customHeight="false" outlineLevel="0" collapsed="false">
      <c r="A98" s="72" t="n">
        <v>94</v>
      </c>
      <c r="B98" s="72" t="s">
        <v>779</v>
      </c>
      <c r="C98" s="72" t="s">
        <v>150</v>
      </c>
      <c r="D98" s="72" t="s">
        <v>736</v>
      </c>
      <c r="E98" s="73" t="s">
        <v>737</v>
      </c>
      <c r="F98" s="72" t="s">
        <v>618</v>
      </c>
      <c r="G98" s="74" t="n">
        <v>4872</v>
      </c>
      <c r="H98" s="75" t="s">
        <v>780</v>
      </c>
      <c r="I98" s="73" t="s">
        <v>152</v>
      </c>
    </row>
    <row r="99" customFormat="false" ht="15" hidden="false" customHeight="false" outlineLevel="0" collapsed="false">
      <c r="A99" s="72" t="n">
        <v>95</v>
      </c>
      <c r="B99" s="72" t="s">
        <v>781</v>
      </c>
      <c r="C99" s="72" t="s">
        <v>150</v>
      </c>
      <c r="D99" s="72" t="s">
        <v>736</v>
      </c>
      <c r="E99" s="73" t="s">
        <v>737</v>
      </c>
      <c r="F99" s="72" t="s">
        <v>618</v>
      </c>
      <c r="G99" s="74" t="n">
        <v>16781</v>
      </c>
      <c r="H99" s="75" t="s">
        <v>782</v>
      </c>
      <c r="I99" s="73" t="s">
        <v>152</v>
      </c>
    </row>
    <row r="100" customFormat="false" ht="15" hidden="false" customHeight="false" outlineLevel="0" collapsed="false">
      <c r="A100" s="72" t="n">
        <v>96</v>
      </c>
      <c r="B100" s="72" t="s">
        <v>783</v>
      </c>
      <c r="C100" s="72" t="s">
        <v>150</v>
      </c>
      <c r="D100" s="72" t="s">
        <v>736</v>
      </c>
      <c r="E100" s="73" t="s">
        <v>737</v>
      </c>
      <c r="F100" s="72" t="s">
        <v>618</v>
      </c>
      <c r="G100" s="74" t="n">
        <v>4804</v>
      </c>
      <c r="H100" s="75" t="s">
        <v>784</v>
      </c>
      <c r="I100" s="73" t="s">
        <v>152</v>
      </c>
    </row>
    <row r="101" customFormat="false" ht="15" hidden="false" customHeight="false" outlineLevel="0" collapsed="false">
      <c r="A101" s="72" t="n">
        <v>97</v>
      </c>
      <c r="B101" s="72" t="s">
        <v>785</v>
      </c>
      <c r="C101" s="72" t="s">
        <v>150</v>
      </c>
      <c r="D101" s="72" t="s">
        <v>736</v>
      </c>
      <c r="E101" s="73" t="s">
        <v>737</v>
      </c>
      <c r="F101" s="72" t="s">
        <v>618</v>
      </c>
      <c r="G101" s="74" t="n">
        <v>11167</v>
      </c>
      <c r="H101" s="75" t="s">
        <v>786</v>
      </c>
      <c r="I101" s="73" t="s">
        <v>152</v>
      </c>
    </row>
    <row r="102" customFormat="false" ht="15" hidden="false" customHeight="false" outlineLevel="0" collapsed="false">
      <c r="A102" s="72" t="n">
        <v>98</v>
      </c>
      <c r="B102" s="72" t="s">
        <v>787</v>
      </c>
      <c r="C102" s="72" t="s">
        <v>150</v>
      </c>
      <c r="D102" s="72" t="s">
        <v>736</v>
      </c>
      <c r="E102" s="73" t="s">
        <v>737</v>
      </c>
      <c r="F102" s="72" t="s">
        <v>618</v>
      </c>
      <c r="G102" s="74" t="n">
        <v>35699</v>
      </c>
      <c r="H102" s="75" t="s">
        <v>788</v>
      </c>
      <c r="I102" s="73" t="s">
        <v>152</v>
      </c>
    </row>
    <row r="103" customFormat="false" ht="15" hidden="false" customHeight="false" outlineLevel="0" collapsed="false">
      <c r="A103" s="72" t="n">
        <v>99</v>
      </c>
      <c r="B103" s="72" t="s">
        <v>789</v>
      </c>
      <c r="C103" s="72" t="s">
        <v>150</v>
      </c>
      <c r="D103" s="72" t="s">
        <v>736</v>
      </c>
      <c r="E103" s="73" t="s">
        <v>737</v>
      </c>
      <c r="F103" s="72" t="s">
        <v>618</v>
      </c>
      <c r="G103" s="74" t="n">
        <v>11870</v>
      </c>
      <c r="H103" s="75" t="s">
        <v>790</v>
      </c>
      <c r="I103" s="73" t="s">
        <v>152</v>
      </c>
    </row>
    <row r="104" customFormat="false" ht="15" hidden="false" customHeight="false" outlineLevel="0" collapsed="false">
      <c r="A104" s="72" t="n">
        <v>100</v>
      </c>
      <c r="B104" s="72" t="s">
        <v>791</v>
      </c>
      <c r="C104" s="72" t="s">
        <v>150</v>
      </c>
      <c r="D104" s="72" t="s">
        <v>736</v>
      </c>
      <c r="E104" s="73" t="s">
        <v>737</v>
      </c>
      <c r="F104" s="72" t="s">
        <v>618</v>
      </c>
      <c r="G104" s="74" t="n">
        <v>6837</v>
      </c>
      <c r="H104" s="75" t="s">
        <v>792</v>
      </c>
      <c r="I104" s="73" t="s">
        <v>152</v>
      </c>
    </row>
    <row r="105" customFormat="false" ht="15" hidden="false" customHeight="false" outlineLevel="0" collapsed="false">
      <c r="A105" s="72" t="n">
        <v>101</v>
      </c>
      <c r="B105" s="72" t="s">
        <v>793</v>
      </c>
      <c r="C105" s="72" t="s">
        <v>150</v>
      </c>
      <c r="D105" s="72" t="s">
        <v>736</v>
      </c>
      <c r="E105" s="73" t="s">
        <v>737</v>
      </c>
      <c r="F105" s="72" t="s">
        <v>618</v>
      </c>
      <c r="G105" s="74" t="n">
        <v>11008</v>
      </c>
      <c r="H105" s="75" t="s">
        <v>794</v>
      </c>
      <c r="I105" s="73" t="s">
        <v>152</v>
      </c>
    </row>
    <row r="106" customFormat="false" ht="15" hidden="false" customHeight="false" outlineLevel="0" collapsed="false">
      <c r="A106" s="72" t="n">
        <v>102</v>
      </c>
      <c r="B106" s="72" t="s">
        <v>795</v>
      </c>
      <c r="C106" s="72" t="s">
        <v>150</v>
      </c>
      <c r="D106" s="72" t="s">
        <v>736</v>
      </c>
      <c r="E106" s="73" t="s">
        <v>737</v>
      </c>
      <c r="F106" s="72" t="s">
        <v>618</v>
      </c>
      <c r="G106" s="74" t="n">
        <v>7719</v>
      </c>
      <c r="H106" s="75" t="s">
        <v>796</v>
      </c>
      <c r="I106" s="73" t="s">
        <v>152</v>
      </c>
    </row>
    <row r="107" customFormat="false" ht="15" hidden="false" customHeight="false" outlineLevel="0" collapsed="false">
      <c r="A107" s="72" t="n">
        <v>103</v>
      </c>
      <c r="B107" s="72" t="s">
        <v>797</v>
      </c>
      <c r="C107" s="72" t="s">
        <v>150</v>
      </c>
      <c r="D107" s="72" t="s">
        <v>736</v>
      </c>
      <c r="E107" s="73" t="s">
        <v>737</v>
      </c>
      <c r="F107" s="72" t="s">
        <v>618</v>
      </c>
      <c r="G107" s="74" t="n">
        <v>7066</v>
      </c>
      <c r="H107" s="75" t="s">
        <v>798</v>
      </c>
      <c r="I107" s="73" t="s">
        <v>152</v>
      </c>
    </row>
    <row r="108" customFormat="false" ht="15" hidden="false" customHeight="false" outlineLevel="0" collapsed="false">
      <c r="A108" s="72" t="n">
        <v>104</v>
      </c>
      <c r="B108" s="72" t="s">
        <v>799</v>
      </c>
      <c r="C108" s="72" t="s">
        <v>150</v>
      </c>
      <c r="D108" s="72" t="s">
        <v>736</v>
      </c>
      <c r="E108" s="73" t="s">
        <v>737</v>
      </c>
      <c r="F108" s="72" t="s">
        <v>618</v>
      </c>
      <c r="G108" s="74" t="n">
        <v>20973</v>
      </c>
      <c r="H108" s="75" t="s">
        <v>800</v>
      </c>
      <c r="I108" s="73" t="s">
        <v>152</v>
      </c>
    </row>
    <row r="109" customFormat="false" ht="15" hidden="false" customHeight="false" outlineLevel="0" collapsed="false">
      <c r="A109" s="72" t="n">
        <v>105</v>
      </c>
      <c r="B109" s="72" t="s">
        <v>801</v>
      </c>
      <c r="C109" s="72" t="s">
        <v>150</v>
      </c>
      <c r="D109" s="72" t="s">
        <v>736</v>
      </c>
      <c r="E109" s="73" t="s">
        <v>737</v>
      </c>
      <c r="F109" s="72" t="s">
        <v>618</v>
      </c>
      <c r="G109" s="74" t="n">
        <v>485</v>
      </c>
      <c r="H109" s="75" t="s">
        <v>802</v>
      </c>
      <c r="I109" s="73" t="s">
        <v>152</v>
      </c>
    </row>
    <row r="110" customFormat="false" ht="15" hidden="false" customHeight="false" outlineLevel="0" collapsed="false">
      <c r="A110" s="72" t="n">
        <v>106</v>
      </c>
      <c r="B110" s="72" t="s">
        <v>540</v>
      </c>
      <c r="C110" s="72" t="s">
        <v>145</v>
      </c>
      <c r="D110" s="72" t="s">
        <v>588</v>
      </c>
      <c r="E110" s="73" t="s">
        <v>598</v>
      </c>
      <c r="F110" s="72" t="s">
        <v>599</v>
      </c>
      <c r="G110" s="74" t="n">
        <v>73</v>
      </c>
      <c r="H110" s="75" t="s">
        <v>803</v>
      </c>
      <c r="I110" s="73" t="s">
        <v>148</v>
      </c>
    </row>
    <row r="111" customFormat="false" ht="15" hidden="false" customHeight="false" outlineLevel="0" collapsed="false">
      <c r="A111" s="72" t="n">
        <v>107</v>
      </c>
      <c r="B111" s="72" t="s">
        <v>804</v>
      </c>
      <c r="C111" s="72" t="s">
        <v>145</v>
      </c>
      <c r="D111" s="72" t="s">
        <v>588</v>
      </c>
      <c r="E111" s="73" t="s">
        <v>598</v>
      </c>
      <c r="F111" s="72" t="s">
        <v>805</v>
      </c>
      <c r="G111" s="74" t="n">
        <v>109</v>
      </c>
      <c r="H111" s="75" t="s">
        <v>806</v>
      </c>
      <c r="I111" s="73" t="s">
        <v>148</v>
      </c>
    </row>
    <row r="112" customFormat="false" ht="15" hidden="false" customHeight="false" outlineLevel="0" collapsed="false">
      <c r="A112" s="72" t="n">
        <v>108</v>
      </c>
      <c r="B112" s="72" t="s">
        <v>807</v>
      </c>
      <c r="C112" s="72" t="s">
        <v>145</v>
      </c>
      <c r="D112" s="72" t="s">
        <v>588</v>
      </c>
      <c r="E112" s="73" t="s">
        <v>605</v>
      </c>
      <c r="F112" s="72" t="s">
        <v>808</v>
      </c>
      <c r="G112" s="74" t="n">
        <v>54329</v>
      </c>
      <c r="H112" s="75" t="s">
        <v>809</v>
      </c>
      <c r="I112" s="73" t="s">
        <v>148</v>
      </c>
    </row>
    <row r="113" customFormat="false" ht="15" hidden="false" customHeight="false" outlineLevel="0" collapsed="false">
      <c r="A113" s="72" t="n">
        <v>109</v>
      </c>
      <c r="B113" s="72" t="s">
        <v>544</v>
      </c>
      <c r="C113" s="72" t="s">
        <v>145</v>
      </c>
      <c r="D113" s="72" t="s">
        <v>588</v>
      </c>
      <c r="E113" s="73" t="s">
        <v>598</v>
      </c>
      <c r="F113" s="72" t="s">
        <v>805</v>
      </c>
      <c r="G113" s="74" t="n">
        <v>250</v>
      </c>
      <c r="H113" s="75" t="s">
        <v>810</v>
      </c>
      <c r="I113" s="73" t="s">
        <v>148</v>
      </c>
    </row>
    <row r="114" customFormat="false" ht="15" hidden="false" customHeight="false" outlineLevel="0" collapsed="false">
      <c r="A114" s="72" t="n">
        <v>110</v>
      </c>
      <c r="B114" s="72" t="s">
        <v>811</v>
      </c>
      <c r="C114" s="72" t="s">
        <v>145</v>
      </c>
      <c r="D114" s="72" t="s">
        <v>588</v>
      </c>
      <c r="E114" s="73" t="s">
        <v>812</v>
      </c>
      <c r="F114" s="73" t="s">
        <v>579</v>
      </c>
      <c r="G114" s="74" t="n">
        <v>5296</v>
      </c>
      <c r="H114" s="75" t="s">
        <v>813</v>
      </c>
      <c r="I114" s="73" t="s">
        <v>148</v>
      </c>
    </row>
    <row r="115" customFormat="false" ht="15" hidden="false" customHeight="false" outlineLevel="0" collapsed="false">
      <c r="A115" s="72" t="n">
        <v>111</v>
      </c>
      <c r="B115" s="72" t="s">
        <v>814</v>
      </c>
      <c r="C115" s="72" t="s">
        <v>145</v>
      </c>
      <c r="D115" s="72" t="s">
        <v>588</v>
      </c>
      <c r="E115" s="73" t="s">
        <v>812</v>
      </c>
      <c r="F115" s="72" t="s">
        <v>815</v>
      </c>
      <c r="G115" s="74" t="n">
        <v>2176</v>
      </c>
      <c r="H115" s="75" t="s">
        <v>816</v>
      </c>
      <c r="I115" s="73" t="s">
        <v>148</v>
      </c>
    </row>
    <row r="116" customFormat="false" ht="15" hidden="false" customHeight="false" outlineLevel="0" collapsed="false">
      <c r="A116" s="72" t="n">
        <v>112</v>
      </c>
      <c r="B116" s="72" t="s">
        <v>817</v>
      </c>
      <c r="C116" s="72" t="s">
        <v>145</v>
      </c>
      <c r="D116" s="72" t="s">
        <v>588</v>
      </c>
      <c r="E116" s="73" t="s">
        <v>598</v>
      </c>
      <c r="F116" s="72" t="s">
        <v>599</v>
      </c>
      <c r="G116" s="74" t="n">
        <v>1268</v>
      </c>
      <c r="H116" s="75" t="s">
        <v>818</v>
      </c>
      <c r="I116" s="73" t="s">
        <v>148</v>
      </c>
    </row>
    <row r="117" customFormat="false" ht="15" hidden="false" customHeight="false" outlineLevel="0" collapsed="false">
      <c r="A117" s="72" t="n">
        <v>113</v>
      </c>
      <c r="B117" s="72" t="s">
        <v>819</v>
      </c>
      <c r="C117" s="72" t="s">
        <v>259</v>
      </c>
      <c r="D117" s="73" t="s">
        <v>582</v>
      </c>
      <c r="E117" s="73" t="s">
        <v>254</v>
      </c>
      <c r="F117" s="72" t="s">
        <v>583</v>
      </c>
      <c r="G117" s="74" t="n">
        <v>2128</v>
      </c>
      <c r="H117" s="75" t="s">
        <v>820</v>
      </c>
      <c r="I117" s="73" t="s">
        <v>254</v>
      </c>
    </row>
    <row r="118" customFormat="false" ht="15" hidden="false" customHeight="false" outlineLevel="0" collapsed="false">
      <c r="A118" s="72" t="n">
        <v>114</v>
      </c>
      <c r="B118" s="72" t="s">
        <v>821</v>
      </c>
      <c r="C118" s="72" t="s">
        <v>150</v>
      </c>
      <c r="D118" s="72" t="s">
        <v>736</v>
      </c>
      <c r="E118" s="73" t="s">
        <v>822</v>
      </c>
      <c r="F118" s="72" t="s">
        <v>823</v>
      </c>
      <c r="G118" s="74" t="n">
        <v>9016</v>
      </c>
      <c r="H118" s="75" t="s">
        <v>824</v>
      </c>
      <c r="I118" s="73" t="s">
        <v>152</v>
      </c>
    </row>
    <row r="119" customFormat="false" ht="15" hidden="false" customHeight="false" outlineLevel="0" collapsed="false">
      <c r="A119" s="72" t="n">
        <v>115</v>
      </c>
      <c r="B119" s="72" t="s">
        <v>825</v>
      </c>
      <c r="C119" s="72" t="s">
        <v>150</v>
      </c>
      <c r="D119" s="72" t="s">
        <v>736</v>
      </c>
      <c r="E119" s="73" t="s">
        <v>617</v>
      </c>
      <c r="F119" s="72" t="s">
        <v>618</v>
      </c>
      <c r="G119" s="74" t="n">
        <v>2994</v>
      </c>
      <c r="H119" s="75" t="s">
        <v>826</v>
      </c>
      <c r="I119" s="73" t="s">
        <v>152</v>
      </c>
    </row>
    <row r="120" customFormat="false" ht="15" hidden="false" customHeight="false" outlineLevel="0" collapsed="false">
      <c r="A120" s="72" t="n">
        <v>116</v>
      </c>
      <c r="B120" s="72" t="s">
        <v>827</v>
      </c>
      <c r="C120" s="72" t="s">
        <v>150</v>
      </c>
      <c r="D120" s="72" t="s">
        <v>736</v>
      </c>
      <c r="E120" s="73" t="s">
        <v>617</v>
      </c>
      <c r="F120" s="72" t="s">
        <v>618</v>
      </c>
      <c r="G120" s="74" t="n">
        <v>431</v>
      </c>
      <c r="H120" s="75" t="s">
        <v>828</v>
      </c>
      <c r="I120" s="73" t="s">
        <v>152</v>
      </c>
    </row>
    <row r="121" customFormat="false" ht="15" hidden="false" customHeight="false" outlineLevel="0" collapsed="false">
      <c r="A121" s="72" t="n">
        <v>117</v>
      </c>
      <c r="B121" s="72" t="s">
        <v>829</v>
      </c>
      <c r="C121" s="72" t="s">
        <v>150</v>
      </c>
      <c r="D121" s="72" t="s">
        <v>736</v>
      </c>
      <c r="E121" s="73" t="s">
        <v>617</v>
      </c>
      <c r="F121" s="72" t="s">
        <v>618</v>
      </c>
      <c r="G121" s="74" t="n">
        <v>432</v>
      </c>
      <c r="H121" s="75" t="s">
        <v>830</v>
      </c>
      <c r="I121" s="73" t="s">
        <v>152</v>
      </c>
    </row>
    <row r="122" customFormat="false" ht="15" hidden="false" customHeight="false" outlineLevel="0" collapsed="false">
      <c r="A122" s="72" t="n">
        <v>118</v>
      </c>
      <c r="B122" s="72" t="s">
        <v>831</v>
      </c>
      <c r="C122" s="72" t="s">
        <v>150</v>
      </c>
      <c r="D122" s="72" t="s">
        <v>736</v>
      </c>
      <c r="E122" s="73" t="s">
        <v>617</v>
      </c>
      <c r="F122" s="72" t="s">
        <v>618</v>
      </c>
      <c r="G122" s="74" t="n">
        <v>1104</v>
      </c>
      <c r="H122" s="75" t="s">
        <v>832</v>
      </c>
      <c r="I122" s="73" t="s">
        <v>152</v>
      </c>
    </row>
    <row r="123" customFormat="false" ht="15" hidden="false" customHeight="false" outlineLevel="0" collapsed="false">
      <c r="A123" s="72" t="n">
        <v>119</v>
      </c>
      <c r="B123" s="72" t="s">
        <v>833</v>
      </c>
      <c r="C123" s="72" t="s">
        <v>248</v>
      </c>
      <c r="D123" s="72" t="s">
        <v>577</v>
      </c>
      <c r="E123" s="73" t="s">
        <v>617</v>
      </c>
      <c r="F123" s="72" t="s">
        <v>834</v>
      </c>
      <c r="G123" s="74" t="n">
        <v>28302</v>
      </c>
      <c r="H123" s="75" t="s">
        <v>835</v>
      </c>
      <c r="I123" s="73" t="s">
        <v>250</v>
      </c>
    </row>
    <row r="124" customFormat="false" ht="15" hidden="false" customHeight="false" outlineLevel="0" collapsed="false">
      <c r="A124" s="72" t="n">
        <v>120</v>
      </c>
      <c r="B124" s="72" t="s">
        <v>836</v>
      </c>
      <c r="C124" s="72" t="s">
        <v>248</v>
      </c>
      <c r="D124" s="72" t="s">
        <v>577</v>
      </c>
      <c r="E124" s="73" t="s">
        <v>617</v>
      </c>
      <c r="F124" s="72" t="s">
        <v>834</v>
      </c>
      <c r="G124" s="74" t="n">
        <v>1207</v>
      </c>
      <c r="H124" s="75" t="s">
        <v>837</v>
      </c>
      <c r="I124" s="73" t="s">
        <v>250</v>
      </c>
    </row>
    <row r="125" customFormat="false" ht="15" hidden="false" customHeight="false" outlineLevel="0" collapsed="false">
      <c r="A125" s="72" t="n">
        <v>121</v>
      </c>
      <c r="B125" s="72" t="s">
        <v>838</v>
      </c>
      <c r="C125" s="72" t="s">
        <v>248</v>
      </c>
      <c r="D125" s="72" t="s">
        <v>577</v>
      </c>
      <c r="E125" s="73" t="s">
        <v>617</v>
      </c>
      <c r="F125" s="72" t="s">
        <v>834</v>
      </c>
      <c r="G125" s="74" t="n">
        <v>23698</v>
      </c>
      <c r="H125" s="75" t="s">
        <v>839</v>
      </c>
      <c r="I125" s="73" t="s">
        <v>250</v>
      </c>
    </row>
    <row r="126" customFormat="false" ht="15" hidden="false" customHeight="false" outlineLevel="0" collapsed="false">
      <c r="A126" s="72" t="n">
        <v>122</v>
      </c>
      <c r="B126" s="72" t="s">
        <v>840</v>
      </c>
      <c r="C126" s="72" t="s">
        <v>248</v>
      </c>
      <c r="D126" s="72" t="s">
        <v>577</v>
      </c>
      <c r="E126" s="73" t="s">
        <v>617</v>
      </c>
      <c r="F126" s="72" t="s">
        <v>834</v>
      </c>
      <c r="G126" s="74" t="n">
        <v>1082245</v>
      </c>
      <c r="H126" s="75" t="s">
        <v>841</v>
      </c>
      <c r="I126" s="73" t="s">
        <v>250</v>
      </c>
    </row>
    <row r="127" customFormat="false" ht="15" hidden="false" customHeight="false" outlineLevel="0" collapsed="false">
      <c r="A127" s="72" t="n">
        <v>123</v>
      </c>
      <c r="B127" s="72" t="s">
        <v>842</v>
      </c>
      <c r="C127" s="72" t="s">
        <v>248</v>
      </c>
      <c r="D127" s="72" t="s">
        <v>577</v>
      </c>
      <c r="E127" s="73" t="s">
        <v>722</v>
      </c>
      <c r="F127" s="72" t="s">
        <v>843</v>
      </c>
      <c r="G127" s="74" t="n">
        <v>104682</v>
      </c>
      <c r="H127" s="75" t="s">
        <v>844</v>
      </c>
      <c r="I127" s="73" t="s">
        <v>250</v>
      </c>
    </row>
    <row r="128" customFormat="false" ht="15" hidden="false" customHeight="false" outlineLevel="0" collapsed="false">
      <c r="A128" s="72" t="n">
        <v>124</v>
      </c>
      <c r="B128" s="72" t="s">
        <v>845</v>
      </c>
      <c r="C128" s="72" t="s">
        <v>248</v>
      </c>
      <c r="D128" s="72" t="s">
        <v>577</v>
      </c>
      <c r="E128" s="73" t="s">
        <v>722</v>
      </c>
      <c r="F128" s="72" t="s">
        <v>843</v>
      </c>
      <c r="G128" s="74" t="n">
        <v>123836</v>
      </c>
      <c r="H128" s="75" t="s">
        <v>846</v>
      </c>
      <c r="I128" s="73" t="s">
        <v>250</v>
      </c>
    </row>
    <row r="129" customFormat="false" ht="15" hidden="false" customHeight="false" outlineLevel="0" collapsed="false">
      <c r="A129" s="72" t="n">
        <v>125</v>
      </c>
      <c r="B129" s="72" t="s">
        <v>847</v>
      </c>
      <c r="C129" s="72" t="s">
        <v>248</v>
      </c>
      <c r="D129" s="72" t="s">
        <v>577</v>
      </c>
      <c r="E129" s="73" t="s">
        <v>722</v>
      </c>
      <c r="F129" s="72" t="s">
        <v>843</v>
      </c>
      <c r="G129" s="74" t="n">
        <v>117380</v>
      </c>
      <c r="H129" s="75" t="s">
        <v>848</v>
      </c>
      <c r="I129" s="73" t="s">
        <v>250</v>
      </c>
    </row>
    <row r="130" customFormat="false" ht="15" hidden="false" customHeight="false" outlineLevel="0" collapsed="false">
      <c r="A130" s="72" t="n">
        <v>126</v>
      </c>
      <c r="B130" s="72" t="s">
        <v>849</v>
      </c>
      <c r="C130" s="72" t="s">
        <v>248</v>
      </c>
      <c r="D130" s="72" t="s">
        <v>577</v>
      </c>
      <c r="E130" s="73" t="s">
        <v>722</v>
      </c>
      <c r="F130" s="72" t="s">
        <v>843</v>
      </c>
      <c r="G130" s="74" t="n">
        <v>114152</v>
      </c>
      <c r="H130" s="75" t="s">
        <v>850</v>
      </c>
      <c r="I130" s="73" t="s">
        <v>250</v>
      </c>
    </row>
    <row r="131" customFormat="false" ht="15" hidden="false" customHeight="false" outlineLevel="0" collapsed="false">
      <c r="A131" s="72" t="n">
        <v>127</v>
      </c>
      <c r="B131" s="72" t="s">
        <v>851</v>
      </c>
      <c r="C131" s="72" t="s">
        <v>248</v>
      </c>
      <c r="D131" s="72" t="s">
        <v>577</v>
      </c>
      <c r="E131" s="73" t="s">
        <v>722</v>
      </c>
      <c r="F131" s="72" t="s">
        <v>843</v>
      </c>
      <c r="G131" s="74" t="n">
        <v>145844</v>
      </c>
      <c r="H131" s="75" t="s">
        <v>852</v>
      </c>
      <c r="I131" s="73" t="s">
        <v>250</v>
      </c>
    </row>
    <row r="132" customFormat="false" ht="15" hidden="false" customHeight="false" outlineLevel="0" collapsed="false">
      <c r="A132" s="72" t="n">
        <v>128</v>
      </c>
      <c r="B132" s="72" t="s">
        <v>853</v>
      </c>
      <c r="C132" s="72" t="s">
        <v>248</v>
      </c>
      <c r="D132" s="72" t="s">
        <v>577</v>
      </c>
      <c r="E132" s="73" t="s">
        <v>617</v>
      </c>
      <c r="F132" s="72" t="s">
        <v>834</v>
      </c>
      <c r="G132" s="74" t="n">
        <v>4957</v>
      </c>
      <c r="H132" s="75" t="s">
        <v>854</v>
      </c>
      <c r="I132" s="73" t="s">
        <v>250</v>
      </c>
    </row>
    <row r="133" customFormat="false" ht="15" hidden="false" customHeight="false" outlineLevel="0" collapsed="false">
      <c r="A133" s="72" t="n">
        <v>129</v>
      </c>
      <c r="B133" s="72" t="s">
        <v>855</v>
      </c>
      <c r="C133" s="72" t="s">
        <v>248</v>
      </c>
      <c r="D133" s="72" t="s">
        <v>577</v>
      </c>
      <c r="E133" s="73" t="s">
        <v>722</v>
      </c>
      <c r="F133" s="72" t="s">
        <v>843</v>
      </c>
      <c r="G133" s="74" t="n">
        <v>74190</v>
      </c>
      <c r="H133" s="75" t="s">
        <v>856</v>
      </c>
      <c r="I133" s="73" t="s">
        <v>250</v>
      </c>
    </row>
    <row r="134" customFormat="false" ht="15" hidden="false" customHeight="false" outlineLevel="0" collapsed="false">
      <c r="A134" s="72" t="n">
        <v>130</v>
      </c>
      <c r="B134" s="72" t="s">
        <v>857</v>
      </c>
      <c r="C134" s="72" t="s">
        <v>248</v>
      </c>
      <c r="D134" s="72" t="s">
        <v>577</v>
      </c>
      <c r="E134" s="73" t="s">
        <v>617</v>
      </c>
      <c r="F134" s="72" t="s">
        <v>834</v>
      </c>
      <c r="G134" s="74" t="n">
        <v>55407</v>
      </c>
      <c r="H134" s="75" t="s">
        <v>858</v>
      </c>
      <c r="I134" s="73" t="s">
        <v>250</v>
      </c>
    </row>
    <row r="135" customFormat="false" ht="15" hidden="false" customHeight="false" outlineLevel="0" collapsed="false">
      <c r="A135" s="72" t="n">
        <v>131</v>
      </c>
      <c r="B135" s="72" t="s">
        <v>859</v>
      </c>
      <c r="C135" s="72" t="s">
        <v>248</v>
      </c>
      <c r="D135" s="72" t="s">
        <v>577</v>
      </c>
      <c r="E135" s="73" t="s">
        <v>722</v>
      </c>
      <c r="F135" s="72" t="s">
        <v>843</v>
      </c>
      <c r="G135" s="74" t="n">
        <v>41984</v>
      </c>
      <c r="H135" s="75" t="s">
        <v>860</v>
      </c>
      <c r="I135" s="73" t="s">
        <v>250</v>
      </c>
    </row>
    <row r="136" customFormat="false" ht="15" hidden="false" customHeight="false" outlineLevel="0" collapsed="false">
      <c r="A136" s="72" t="n">
        <v>132</v>
      </c>
      <c r="B136" s="72" t="s">
        <v>861</v>
      </c>
      <c r="C136" s="72" t="s">
        <v>248</v>
      </c>
      <c r="D136" s="72" t="s">
        <v>577</v>
      </c>
      <c r="E136" s="73" t="s">
        <v>722</v>
      </c>
      <c r="F136" s="72" t="s">
        <v>843</v>
      </c>
      <c r="G136" s="74" t="n">
        <v>53130</v>
      </c>
      <c r="H136" s="75" t="s">
        <v>862</v>
      </c>
      <c r="I136" s="73" t="s">
        <v>250</v>
      </c>
    </row>
    <row r="137" customFormat="false" ht="15" hidden="false" customHeight="false" outlineLevel="0" collapsed="false">
      <c r="A137" s="72" t="n">
        <v>133</v>
      </c>
      <c r="B137" s="72" t="s">
        <v>863</v>
      </c>
      <c r="C137" s="72" t="s">
        <v>248</v>
      </c>
      <c r="D137" s="72" t="s">
        <v>577</v>
      </c>
      <c r="E137" s="73" t="s">
        <v>617</v>
      </c>
      <c r="F137" s="72" t="s">
        <v>834</v>
      </c>
      <c r="G137" s="74" t="n">
        <v>1665226</v>
      </c>
      <c r="H137" s="75" t="s">
        <v>864</v>
      </c>
      <c r="I137" s="73" t="s">
        <v>250</v>
      </c>
    </row>
    <row r="138" customFormat="false" ht="15" hidden="false" customHeight="false" outlineLevel="0" collapsed="false">
      <c r="A138" s="72" t="n">
        <v>134</v>
      </c>
      <c r="B138" s="72" t="s">
        <v>865</v>
      </c>
      <c r="C138" s="72" t="s">
        <v>248</v>
      </c>
      <c r="D138" s="72" t="s">
        <v>577</v>
      </c>
      <c r="E138" s="73" t="s">
        <v>866</v>
      </c>
      <c r="F138" s="72" t="s">
        <v>867</v>
      </c>
      <c r="G138" s="74" t="n">
        <v>197003</v>
      </c>
      <c r="H138" s="75" t="s">
        <v>868</v>
      </c>
      <c r="I138" s="73" t="s">
        <v>250</v>
      </c>
    </row>
    <row r="139" customFormat="false" ht="15" hidden="false" customHeight="false" outlineLevel="0" collapsed="false">
      <c r="A139" s="72" t="n">
        <v>135</v>
      </c>
      <c r="B139" s="72" t="s">
        <v>869</v>
      </c>
      <c r="C139" s="72" t="s">
        <v>248</v>
      </c>
      <c r="D139" s="72" t="s">
        <v>577</v>
      </c>
      <c r="E139" s="73" t="s">
        <v>722</v>
      </c>
      <c r="F139" s="72" t="s">
        <v>843</v>
      </c>
      <c r="G139" s="74" t="n">
        <v>20506</v>
      </c>
      <c r="H139" s="75" t="s">
        <v>870</v>
      </c>
      <c r="I139" s="73" t="s">
        <v>250</v>
      </c>
    </row>
    <row r="140" customFormat="false" ht="15" hidden="false" customHeight="false" outlineLevel="0" collapsed="false">
      <c r="A140" s="72" t="n">
        <v>136</v>
      </c>
      <c r="B140" s="72" t="s">
        <v>871</v>
      </c>
      <c r="C140" s="72" t="s">
        <v>248</v>
      </c>
      <c r="D140" s="72" t="s">
        <v>577</v>
      </c>
      <c r="E140" s="73" t="s">
        <v>722</v>
      </c>
      <c r="F140" s="72" t="s">
        <v>843</v>
      </c>
      <c r="G140" s="74" t="n">
        <v>23398</v>
      </c>
      <c r="H140" s="75" t="s">
        <v>872</v>
      </c>
      <c r="I140" s="73" t="s">
        <v>250</v>
      </c>
    </row>
    <row r="141" customFormat="false" ht="15" hidden="false" customHeight="false" outlineLevel="0" collapsed="false">
      <c r="A141" s="72" t="n">
        <v>137</v>
      </c>
      <c r="B141" s="72" t="s">
        <v>873</v>
      </c>
      <c r="C141" s="72" t="s">
        <v>248</v>
      </c>
      <c r="D141" s="72" t="s">
        <v>577</v>
      </c>
      <c r="E141" s="73" t="s">
        <v>722</v>
      </c>
      <c r="F141" s="72" t="s">
        <v>843</v>
      </c>
      <c r="G141" s="74" t="n">
        <v>28290</v>
      </c>
      <c r="H141" s="75" t="s">
        <v>874</v>
      </c>
      <c r="I141" s="73" t="s">
        <v>250</v>
      </c>
    </row>
    <row r="142" customFormat="false" ht="15" hidden="false" customHeight="false" outlineLevel="0" collapsed="false">
      <c r="A142" s="72" t="n">
        <v>138</v>
      </c>
      <c r="B142" s="72" t="s">
        <v>875</v>
      </c>
      <c r="C142" s="72" t="s">
        <v>248</v>
      </c>
      <c r="D142" s="72" t="s">
        <v>577</v>
      </c>
      <c r="E142" s="73" t="s">
        <v>617</v>
      </c>
      <c r="F142" s="72" t="s">
        <v>834</v>
      </c>
      <c r="G142" s="74" t="n">
        <v>8946</v>
      </c>
      <c r="H142" s="75" t="s">
        <v>876</v>
      </c>
      <c r="I142" s="73" t="s">
        <v>250</v>
      </c>
    </row>
    <row r="143" customFormat="false" ht="15" hidden="false" customHeight="false" outlineLevel="0" collapsed="false">
      <c r="A143" s="72" t="n">
        <v>139</v>
      </c>
      <c r="B143" s="72" t="s">
        <v>877</v>
      </c>
      <c r="C143" s="72" t="s">
        <v>248</v>
      </c>
      <c r="D143" s="72" t="s">
        <v>577</v>
      </c>
      <c r="E143" s="73" t="s">
        <v>722</v>
      </c>
      <c r="F143" s="72" t="s">
        <v>843</v>
      </c>
      <c r="G143" s="74" t="n">
        <v>16038</v>
      </c>
      <c r="H143" s="75" t="s">
        <v>878</v>
      </c>
      <c r="I143" s="73" t="s">
        <v>250</v>
      </c>
    </row>
    <row r="144" customFormat="false" ht="15" hidden="false" customHeight="false" outlineLevel="0" collapsed="false">
      <c r="A144" s="72" t="n">
        <v>140</v>
      </c>
      <c r="B144" s="72" t="s">
        <v>879</v>
      </c>
      <c r="C144" s="72" t="s">
        <v>248</v>
      </c>
      <c r="D144" s="72" t="s">
        <v>577</v>
      </c>
      <c r="E144" s="73" t="s">
        <v>722</v>
      </c>
      <c r="F144" s="72" t="s">
        <v>843</v>
      </c>
      <c r="G144" s="74" t="n">
        <v>51478</v>
      </c>
      <c r="H144" s="75" t="s">
        <v>880</v>
      </c>
      <c r="I144" s="73" t="s">
        <v>250</v>
      </c>
    </row>
    <row r="145" customFormat="false" ht="15" hidden="false" customHeight="false" outlineLevel="0" collapsed="false">
      <c r="A145" s="72" t="n">
        <v>141</v>
      </c>
      <c r="B145" s="72" t="s">
        <v>881</v>
      </c>
      <c r="C145" s="72" t="s">
        <v>248</v>
      </c>
      <c r="D145" s="72" t="s">
        <v>577</v>
      </c>
      <c r="E145" s="73" t="s">
        <v>722</v>
      </c>
      <c r="F145" s="72" t="s">
        <v>843</v>
      </c>
      <c r="G145" s="74" t="n">
        <v>39592</v>
      </c>
      <c r="H145" s="75" t="s">
        <v>882</v>
      </c>
      <c r="I145" s="73" t="s">
        <v>250</v>
      </c>
    </row>
    <row r="146" customFormat="false" ht="15" hidden="false" customHeight="false" outlineLevel="0" collapsed="false">
      <c r="A146" s="72" t="n">
        <v>142</v>
      </c>
      <c r="B146" s="72" t="s">
        <v>883</v>
      </c>
      <c r="C146" s="72" t="s">
        <v>248</v>
      </c>
      <c r="D146" s="72" t="s">
        <v>577</v>
      </c>
      <c r="E146" s="73" t="s">
        <v>722</v>
      </c>
      <c r="F146" s="72" t="s">
        <v>843</v>
      </c>
      <c r="G146" s="74" t="n">
        <v>69934</v>
      </c>
      <c r="H146" s="75" t="s">
        <v>884</v>
      </c>
      <c r="I146" s="73" t="s">
        <v>250</v>
      </c>
    </row>
    <row r="147" customFormat="false" ht="15" hidden="false" customHeight="false" outlineLevel="0" collapsed="false">
      <c r="A147" s="72" t="n">
        <v>143</v>
      </c>
      <c r="B147" s="72" t="s">
        <v>885</v>
      </c>
      <c r="C147" s="72" t="s">
        <v>248</v>
      </c>
      <c r="D147" s="72" t="s">
        <v>577</v>
      </c>
      <c r="E147" s="73" t="s">
        <v>722</v>
      </c>
      <c r="F147" s="72" t="s">
        <v>843</v>
      </c>
      <c r="G147" s="74" t="n">
        <v>24596</v>
      </c>
      <c r="H147" s="75" t="s">
        <v>886</v>
      </c>
      <c r="I147" s="73" t="s">
        <v>250</v>
      </c>
    </row>
    <row r="148" customFormat="false" ht="15" hidden="false" customHeight="false" outlineLevel="0" collapsed="false">
      <c r="A148" s="72" t="n">
        <v>144</v>
      </c>
      <c r="B148" s="72" t="s">
        <v>887</v>
      </c>
      <c r="C148" s="72" t="s">
        <v>248</v>
      </c>
      <c r="D148" s="72" t="s">
        <v>577</v>
      </c>
      <c r="E148" s="73" t="s">
        <v>722</v>
      </c>
      <c r="F148" s="72" t="s">
        <v>843</v>
      </c>
      <c r="G148" s="74" t="n">
        <v>31676</v>
      </c>
      <c r="H148" s="75" t="s">
        <v>888</v>
      </c>
      <c r="I148" s="73" t="s">
        <v>250</v>
      </c>
    </row>
    <row r="149" customFormat="false" ht="15" hidden="false" customHeight="false" outlineLevel="0" collapsed="false">
      <c r="A149" s="72" t="n">
        <v>145</v>
      </c>
      <c r="B149" s="72" t="s">
        <v>889</v>
      </c>
      <c r="C149" s="72" t="s">
        <v>248</v>
      </c>
      <c r="D149" s="72" t="s">
        <v>577</v>
      </c>
      <c r="E149" s="73" t="s">
        <v>722</v>
      </c>
      <c r="F149" s="72" t="s">
        <v>843</v>
      </c>
      <c r="G149" s="74" t="n">
        <v>48564</v>
      </c>
      <c r="H149" s="75" t="s">
        <v>890</v>
      </c>
      <c r="I149" s="73" t="s">
        <v>250</v>
      </c>
    </row>
    <row r="150" customFormat="false" ht="15" hidden="false" customHeight="false" outlineLevel="0" collapsed="false">
      <c r="A150" s="72" t="n">
        <v>146</v>
      </c>
      <c r="B150" s="72" t="s">
        <v>891</v>
      </c>
      <c r="C150" s="72" t="s">
        <v>248</v>
      </c>
      <c r="D150" s="72" t="s">
        <v>577</v>
      </c>
      <c r="E150" s="73" t="s">
        <v>722</v>
      </c>
      <c r="F150" s="72" t="s">
        <v>843</v>
      </c>
      <c r="G150" s="74" t="n">
        <v>27702</v>
      </c>
      <c r="H150" s="75" t="s">
        <v>892</v>
      </c>
      <c r="I150" s="73" t="s">
        <v>250</v>
      </c>
    </row>
    <row r="151" customFormat="false" ht="15" hidden="false" customHeight="false" outlineLevel="0" collapsed="false">
      <c r="A151" s="72" t="n">
        <v>147</v>
      </c>
      <c r="B151" s="72" t="s">
        <v>893</v>
      </c>
      <c r="C151" s="72" t="s">
        <v>248</v>
      </c>
      <c r="D151" s="72" t="s">
        <v>577</v>
      </c>
      <c r="E151" s="73" t="s">
        <v>722</v>
      </c>
      <c r="F151" s="72" t="s">
        <v>843</v>
      </c>
      <c r="G151" s="74" t="n">
        <v>21298</v>
      </c>
      <c r="H151" s="75" t="s">
        <v>894</v>
      </c>
      <c r="I151" s="73" t="s">
        <v>250</v>
      </c>
    </row>
    <row r="152" customFormat="false" ht="15" hidden="false" customHeight="false" outlineLevel="0" collapsed="false">
      <c r="A152" s="72" t="n">
        <v>148</v>
      </c>
      <c r="B152" s="72" t="s">
        <v>895</v>
      </c>
      <c r="C152" s="72" t="s">
        <v>248</v>
      </c>
      <c r="D152" s="72" t="s">
        <v>577</v>
      </c>
      <c r="E152" s="73" t="s">
        <v>722</v>
      </c>
      <c r="F152" s="72" t="s">
        <v>843</v>
      </c>
      <c r="G152" s="74" t="n">
        <v>22840</v>
      </c>
      <c r="H152" s="75" t="s">
        <v>896</v>
      </c>
      <c r="I152" s="73" t="s">
        <v>250</v>
      </c>
    </row>
    <row r="153" customFormat="false" ht="15" hidden="false" customHeight="false" outlineLevel="0" collapsed="false">
      <c r="A153" s="72" t="n">
        <v>149</v>
      </c>
      <c r="B153" s="72" t="s">
        <v>897</v>
      </c>
      <c r="C153" s="72" t="s">
        <v>248</v>
      </c>
      <c r="D153" s="72" t="s">
        <v>577</v>
      </c>
      <c r="E153" s="73" t="s">
        <v>617</v>
      </c>
      <c r="F153" s="72" t="s">
        <v>834</v>
      </c>
      <c r="G153" s="74" t="n">
        <v>552</v>
      </c>
      <c r="H153" s="75" t="s">
        <v>898</v>
      </c>
      <c r="I153" s="73" t="s">
        <v>250</v>
      </c>
    </row>
    <row r="154" customFormat="false" ht="15" hidden="false" customHeight="false" outlineLevel="0" collapsed="false">
      <c r="A154" s="72" t="n">
        <v>150</v>
      </c>
      <c r="B154" s="72" t="s">
        <v>899</v>
      </c>
      <c r="C154" s="72" t="s">
        <v>248</v>
      </c>
      <c r="D154" s="72" t="s">
        <v>577</v>
      </c>
      <c r="E154" s="73" t="s">
        <v>254</v>
      </c>
      <c r="F154" s="72" t="s">
        <v>583</v>
      </c>
      <c r="G154" s="74" t="n">
        <v>2745</v>
      </c>
      <c r="H154" s="75" t="s">
        <v>900</v>
      </c>
      <c r="I154" s="73" t="s">
        <v>250</v>
      </c>
    </row>
    <row r="155" customFormat="false" ht="15" hidden="false" customHeight="false" outlineLevel="0" collapsed="false">
      <c r="A155" s="72" t="n">
        <v>151</v>
      </c>
      <c r="B155" s="72" t="s">
        <v>901</v>
      </c>
      <c r="C155" s="72" t="s">
        <v>248</v>
      </c>
      <c r="D155" s="72" t="s">
        <v>577</v>
      </c>
      <c r="E155" s="73" t="s">
        <v>722</v>
      </c>
      <c r="F155" s="72" t="s">
        <v>843</v>
      </c>
      <c r="G155" s="74" t="n">
        <v>245912</v>
      </c>
      <c r="H155" s="75" t="s">
        <v>902</v>
      </c>
      <c r="I155" s="73" t="s">
        <v>250</v>
      </c>
    </row>
    <row r="156" customFormat="false" ht="15" hidden="false" customHeight="false" outlineLevel="0" collapsed="false">
      <c r="A156" s="72" t="n">
        <v>152</v>
      </c>
      <c r="B156" s="72" t="s">
        <v>903</v>
      </c>
      <c r="C156" s="72" t="s">
        <v>248</v>
      </c>
      <c r="D156" s="72" t="s">
        <v>577</v>
      </c>
      <c r="E156" s="73" t="s">
        <v>722</v>
      </c>
      <c r="F156" s="72" t="s">
        <v>843</v>
      </c>
      <c r="G156" s="74" t="n">
        <v>210624</v>
      </c>
      <c r="H156" s="75" t="s">
        <v>904</v>
      </c>
      <c r="I156" s="73" t="s">
        <v>250</v>
      </c>
    </row>
    <row r="157" customFormat="false" ht="15" hidden="false" customHeight="false" outlineLevel="0" collapsed="false">
      <c r="A157" s="72" t="n">
        <v>153</v>
      </c>
      <c r="B157" s="72" t="s">
        <v>905</v>
      </c>
      <c r="C157" s="72" t="s">
        <v>248</v>
      </c>
      <c r="D157" s="72" t="s">
        <v>577</v>
      </c>
      <c r="E157" s="73" t="s">
        <v>906</v>
      </c>
      <c r="F157" s="72" t="s">
        <v>907</v>
      </c>
      <c r="G157" s="74" t="n">
        <v>12288927</v>
      </c>
      <c r="H157" s="75" t="s">
        <v>908</v>
      </c>
      <c r="I157" s="73" t="s">
        <v>250</v>
      </c>
    </row>
    <row r="158" customFormat="false" ht="15" hidden="false" customHeight="false" outlineLevel="0" collapsed="false">
      <c r="A158" s="72" t="n">
        <v>154</v>
      </c>
      <c r="B158" s="72" t="s">
        <v>909</v>
      </c>
      <c r="C158" s="72" t="s">
        <v>248</v>
      </c>
      <c r="D158" s="72" t="s">
        <v>577</v>
      </c>
      <c r="E158" s="73" t="s">
        <v>906</v>
      </c>
      <c r="F158" s="72" t="s">
        <v>907</v>
      </c>
      <c r="G158" s="74" t="n">
        <v>15833015</v>
      </c>
      <c r="H158" s="75" t="s">
        <v>910</v>
      </c>
      <c r="I158" s="73" t="s">
        <v>250</v>
      </c>
    </row>
    <row r="159" customFormat="false" ht="15" hidden="false" customHeight="false" outlineLevel="0" collapsed="false">
      <c r="A159" s="72" t="n">
        <v>155</v>
      </c>
      <c r="B159" s="72" t="s">
        <v>911</v>
      </c>
      <c r="C159" s="72" t="s">
        <v>248</v>
      </c>
      <c r="D159" s="72" t="s">
        <v>577</v>
      </c>
      <c r="E159" s="73" t="s">
        <v>906</v>
      </c>
      <c r="F159" s="72" t="s">
        <v>907</v>
      </c>
      <c r="G159" s="74" t="n">
        <v>11627196</v>
      </c>
      <c r="H159" s="75" t="s">
        <v>912</v>
      </c>
      <c r="I159" s="73" t="s">
        <v>250</v>
      </c>
    </row>
    <row r="160" customFormat="false" ht="15" hidden="false" customHeight="false" outlineLevel="0" collapsed="false">
      <c r="A160" s="72" t="n">
        <v>156</v>
      </c>
      <c r="B160" s="72" t="s">
        <v>913</v>
      </c>
      <c r="C160" s="72" t="s">
        <v>248</v>
      </c>
      <c r="D160" s="72" t="s">
        <v>577</v>
      </c>
      <c r="E160" s="73" t="s">
        <v>722</v>
      </c>
      <c r="F160" s="72" t="s">
        <v>843</v>
      </c>
      <c r="G160" s="74" t="n">
        <v>102934</v>
      </c>
      <c r="H160" s="75" t="s">
        <v>914</v>
      </c>
      <c r="I160" s="73" t="s">
        <v>250</v>
      </c>
    </row>
    <row r="161" customFormat="false" ht="15" hidden="false" customHeight="false" outlineLevel="0" collapsed="false">
      <c r="A161" s="72" t="n">
        <v>157</v>
      </c>
      <c r="B161" s="72" t="s">
        <v>915</v>
      </c>
      <c r="C161" s="72" t="s">
        <v>248</v>
      </c>
      <c r="D161" s="72" t="s">
        <v>577</v>
      </c>
      <c r="E161" s="73" t="s">
        <v>722</v>
      </c>
      <c r="F161" s="72" t="s">
        <v>843</v>
      </c>
      <c r="G161" s="74" t="n">
        <v>102630</v>
      </c>
      <c r="H161" s="75" t="s">
        <v>916</v>
      </c>
      <c r="I161" s="73" t="s">
        <v>250</v>
      </c>
    </row>
    <row r="162" customFormat="false" ht="15" hidden="false" customHeight="false" outlineLevel="0" collapsed="false">
      <c r="A162" s="72" t="n">
        <v>158</v>
      </c>
      <c r="B162" s="72" t="s">
        <v>917</v>
      </c>
      <c r="C162" s="72" t="s">
        <v>248</v>
      </c>
      <c r="D162" s="72" t="s">
        <v>577</v>
      </c>
      <c r="E162" s="73" t="s">
        <v>722</v>
      </c>
      <c r="F162" s="72" t="s">
        <v>843</v>
      </c>
      <c r="G162" s="74" t="n">
        <v>108210</v>
      </c>
      <c r="H162" s="75" t="s">
        <v>918</v>
      </c>
      <c r="I162" s="73" t="s">
        <v>250</v>
      </c>
    </row>
    <row r="163" customFormat="false" ht="15" hidden="false" customHeight="false" outlineLevel="0" collapsed="false">
      <c r="A163" s="72" t="n">
        <v>159</v>
      </c>
      <c r="B163" s="72" t="s">
        <v>919</v>
      </c>
      <c r="C163" s="72" t="s">
        <v>248</v>
      </c>
      <c r="D163" s="72" t="s">
        <v>577</v>
      </c>
      <c r="E163" s="73" t="s">
        <v>722</v>
      </c>
      <c r="F163" s="72" t="s">
        <v>843</v>
      </c>
      <c r="G163" s="74" t="n">
        <v>109238</v>
      </c>
      <c r="H163" s="75" t="s">
        <v>920</v>
      </c>
      <c r="I163" s="73" t="s">
        <v>250</v>
      </c>
    </row>
    <row r="164" customFormat="false" ht="15" hidden="false" customHeight="false" outlineLevel="0" collapsed="false">
      <c r="A164" s="72" t="n">
        <v>160</v>
      </c>
      <c r="B164" s="72" t="s">
        <v>921</v>
      </c>
      <c r="C164" s="72" t="s">
        <v>248</v>
      </c>
      <c r="D164" s="72" t="s">
        <v>577</v>
      </c>
      <c r="E164" s="73" t="s">
        <v>722</v>
      </c>
      <c r="F164" s="72" t="s">
        <v>843</v>
      </c>
      <c r="G164" s="74" t="n">
        <v>232844</v>
      </c>
      <c r="H164" s="75" t="s">
        <v>922</v>
      </c>
      <c r="I164" s="73" t="s">
        <v>250</v>
      </c>
    </row>
    <row r="165" customFormat="false" ht="15" hidden="false" customHeight="false" outlineLevel="0" collapsed="false">
      <c r="A165" s="72" t="n">
        <v>161</v>
      </c>
      <c r="B165" s="72" t="s">
        <v>923</v>
      </c>
      <c r="C165" s="72" t="s">
        <v>248</v>
      </c>
      <c r="D165" s="72" t="s">
        <v>577</v>
      </c>
      <c r="E165" s="73" t="s">
        <v>722</v>
      </c>
      <c r="F165" s="72" t="s">
        <v>843</v>
      </c>
      <c r="G165" s="74" t="n">
        <v>311606</v>
      </c>
      <c r="H165" s="75" t="s">
        <v>924</v>
      </c>
      <c r="I165" s="73" t="s">
        <v>250</v>
      </c>
    </row>
    <row r="166" customFormat="false" ht="15" hidden="false" customHeight="false" outlineLevel="0" collapsed="false">
      <c r="A166" s="72" t="n">
        <v>162</v>
      </c>
      <c r="B166" s="72" t="s">
        <v>925</v>
      </c>
      <c r="C166" s="72" t="s">
        <v>248</v>
      </c>
      <c r="D166" s="72" t="s">
        <v>577</v>
      </c>
      <c r="E166" s="73" t="s">
        <v>254</v>
      </c>
      <c r="F166" s="72" t="s">
        <v>583</v>
      </c>
      <c r="G166" s="74" t="n">
        <v>13208</v>
      </c>
      <c r="H166" s="75" t="s">
        <v>926</v>
      </c>
      <c r="I166" s="73" t="s">
        <v>250</v>
      </c>
    </row>
    <row r="167" customFormat="false" ht="15" hidden="false" customHeight="false" outlineLevel="0" collapsed="false">
      <c r="A167" s="72" t="n">
        <v>163</v>
      </c>
      <c r="B167" s="72" t="s">
        <v>927</v>
      </c>
      <c r="C167" s="72" t="s">
        <v>248</v>
      </c>
      <c r="D167" s="72" t="s">
        <v>577</v>
      </c>
      <c r="E167" s="73" t="s">
        <v>928</v>
      </c>
      <c r="F167" s="72" t="s">
        <v>929</v>
      </c>
      <c r="G167" s="74" t="n">
        <v>116402</v>
      </c>
      <c r="H167" s="75" t="s">
        <v>930</v>
      </c>
      <c r="I167" s="73" t="s">
        <v>250</v>
      </c>
    </row>
    <row r="168" customFormat="false" ht="15" hidden="false" customHeight="false" outlineLevel="0" collapsed="false">
      <c r="A168" s="72" t="n">
        <v>164</v>
      </c>
      <c r="B168" s="72" t="s">
        <v>931</v>
      </c>
      <c r="C168" s="72" t="s">
        <v>248</v>
      </c>
      <c r="D168" s="72" t="s">
        <v>577</v>
      </c>
      <c r="E168" s="73" t="s">
        <v>928</v>
      </c>
      <c r="F168" s="72" t="s">
        <v>929</v>
      </c>
      <c r="G168" s="74" t="n">
        <v>106642</v>
      </c>
      <c r="H168" s="75" t="s">
        <v>932</v>
      </c>
      <c r="I168" s="73" t="s">
        <v>250</v>
      </c>
    </row>
    <row r="169" customFormat="false" ht="15" hidden="false" customHeight="false" outlineLevel="0" collapsed="false">
      <c r="A169" s="72" t="n">
        <v>165</v>
      </c>
      <c r="B169" s="72" t="s">
        <v>933</v>
      </c>
      <c r="C169" s="72" t="s">
        <v>248</v>
      </c>
      <c r="D169" s="72" t="s">
        <v>577</v>
      </c>
      <c r="E169" s="73" t="s">
        <v>928</v>
      </c>
      <c r="F169" s="72" t="s">
        <v>929</v>
      </c>
      <c r="G169" s="74" t="n">
        <v>125868</v>
      </c>
      <c r="H169" s="75" t="s">
        <v>934</v>
      </c>
      <c r="I169" s="73" t="s">
        <v>250</v>
      </c>
    </row>
    <row r="170" customFormat="false" ht="15" hidden="false" customHeight="false" outlineLevel="0" collapsed="false">
      <c r="A170" s="72" t="n">
        <v>166</v>
      </c>
      <c r="B170" s="72" t="s">
        <v>935</v>
      </c>
      <c r="C170" s="72" t="s">
        <v>248</v>
      </c>
      <c r="D170" s="72" t="s">
        <v>577</v>
      </c>
      <c r="E170" s="73" t="s">
        <v>928</v>
      </c>
      <c r="F170" s="72" t="s">
        <v>929</v>
      </c>
      <c r="G170" s="74" t="n">
        <v>259250</v>
      </c>
      <c r="H170" s="75" t="s">
        <v>936</v>
      </c>
      <c r="I170" s="73" t="s">
        <v>250</v>
      </c>
    </row>
    <row r="171" customFormat="false" ht="15" hidden="false" customHeight="false" outlineLevel="0" collapsed="false">
      <c r="A171" s="72" t="n">
        <v>167</v>
      </c>
      <c r="B171" s="72" t="s">
        <v>937</v>
      </c>
      <c r="C171" s="72" t="s">
        <v>248</v>
      </c>
      <c r="D171" s="72" t="s">
        <v>577</v>
      </c>
      <c r="E171" s="73" t="s">
        <v>928</v>
      </c>
      <c r="F171" s="72" t="s">
        <v>929</v>
      </c>
      <c r="G171" s="74" t="n">
        <v>307965</v>
      </c>
      <c r="H171" s="75" t="s">
        <v>938</v>
      </c>
      <c r="I171" s="73" t="s">
        <v>250</v>
      </c>
    </row>
    <row r="172" customFormat="false" ht="15" hidden="false" customHeight="false" outlineLevel="0" collapsed="false">
      <c r="A172" s="72" t="n">
        <v>168</v>
      </c>
      <c r="B172" s="72" t="s">
        <v>939</v>
      </c>
      <c r="C172" s="72" t="s">
        <v>248</v>
      </c>
      <c r="D172" s="72" t="s">
        <v>577</v>
      </c>
      <c r="E172" s="73" t="s">
        <v>928</v>
      </c>
      <c r="F172" s="72" t="s">
        <v>929</v>
      </c>
      <c r="G172" s="74" t="n">
        <v>349343</v>
      </c>
      <c r="H172" s="75" t="s">
        <v>940</v>
      </c>
      <c r="I172" s="73" t="s">
        <v>250</v>
      </c>
    </row>
    <row r="173" customFormat="false" ht="15" hidden="false" customHeight="false" outlineLevel="0" collapsed="false">
      <c r="A173" s="72" t="n">
        <v>169</v>
      </c>
      <c r="B173" s="72" t="s">
        <v>941</v>
      </c>
      <c r="C173" s="72" t="s">
        <v>248</v>
      </c>
      <c r="D173" s="72" t="s">
        <v>577</v>
      </c>
      <c r="E173" s="73" t="s">
        <v>928</v>
      </c>
      <c r="F173" s="72" t="s">
        <v>929</v>
      </c>
      <c r="G173" s="74" t="n">
        <v>211442</v>
      </c>
      <c r="H173" s="75" t="s">
        <v>942</v>
      </c>
      <c r="I173" s="73" t="s">
        <v>250</v>
      </c>
    </row>
    <row r="174" customFormat="false" ht="15" hidden="false" customHeight="false" outlineLevel="0" collapsed="false">
      <c r="A174" s="72" t="n">
        <v>170</v>
      </c>
      <c r="B174" s="72" t="s">
        <v>943</v>
      </c>
      <c r="C174" s="72" t="s">
        <v>248</v>
      </c>
      <c r="D174" s="72" t="s">
        <v>577</v>
      </c>
      <c r="E174" s="73" t="s">
        <v>928</v>
      </c>
      <c r="F174" s="72" t="s">
        <v>929</v>
      </c>
      <c r="G174" s="74" t="n">
        <v>203057</v>
      </c>
      <c r="H174" s="75" t="s">
        <v>944</v>
      </c>
      <c r="I174" s="73" t="s">
        <v>250</v>
      </c>
    </row>
    <row r="175" customFormat="false" ht="15" hidden="false" customHeight="false" outlineLevel="0" collapsed="false">
      <c r="A175" s="72" t="n">
        <v>171</v>
      </c>
      <c r="B175" s="72" t="s">
        <v>945</v>
      </c>
      <c r="C175" s="72" t="s">
        <v>248</v>
      </c>
      <c r="D175" s="72" t="s">
        <v>577</v>
      </c>
      <c r="E175" s="73" t="s">
        <v>928</v>
      </c>
      <c r="F175" s="72" t="s">
        <v>929</v>
      </c>
      <c r="G175" s="74" t="n">
        <v>295844</v>
      </c>
      <c r="H175" s="75" t="s">
        <v>946</v>
      </c>
      <c r="I175" s="73" t="s">
        <v>250</v>
      </c>
    </row>
    <row r="176" customFormat="false" ht="15" hidden="false" customHeight="false" outlineLevel="0" collapsed="false">
      <c r="A176" s="72" t="n">
        <v>172</v>
      </c>
      <c r="B176" s="72" t="s">
        <v>947</v>
      </c>
      <c r="C176" s="72" t="s">
        <v>248</v>
      </c>
      <c r="D176" s="72" t="s">
        <v>577</v>
      </c>
      <c r="E176" s="73" t="s">
        <v>928</v>
      </c>
      <c r="F176" s="72" t="s">
        <v>929</v>
      </c>
      <c r="G176" s="74" t="n">
        <v>186674</v>
      </c>
      <c r="H176" s="75" t="s">
        <v>948</v>
      </c>
      <c r="I176" s="73" t="s">
        <v>250</v>
      </c>
    </row>
    <row r="177" customFormat="false" ht="15" hidden="false" customHeight="false" outlineLevel="0" collapsed="false">
      <c r="A177" s="72" t="n">
        <v>173</v>
      </c>
      <c r="B177" s="72" t="s">
        <v>949</v>
      </c>
      <c r="C177" s="72" t="s">
        <v>248</v>
      </c>
      <c r="D177" s="72" t="s">
        <v>577</v>
      </c>
      <c r="E177" s="73" t="s">
        <v>928</v>
      </c>
      <c r="F177" s="72" t="s">
        <v>929</v>
      </c>
      <c r="G177" s="74" t="n">
        <v>171843</v>
      </c>
      <c r="H177" s="75" t="s">
        <v>950</v>
      </c>
      <c r="I177" s="73" t="s">
        <v>250</v>
      </c>
    </row>
    <row r="178" customFormat="false" ht="15" hidden="false" customHeight="false" outlineLevel="0" collapsed="false">
      <c r="A178" s="72" t="n">
        <v>174</v>
      </c>
      <c r="B178" s="72" t="s">
        <v>951</v>
      </c>
      <c r="C178" s="72" t="s">
        <v>248</v>
      </c>
      <c r="D178" s="72" t="s">
        <v>577</v>
      </c>
      <c r="E178" s="73" t="s">
        <v>928</v>
      </c>
      <c r="F178" s="72" t="s">
        <v>929</v>
      </c>
      <c r="G178" s="74" t="n">
        <v>179366</v>
      </c>
      <c r="H178" s="75" t="s">
        <v>952</v>
      </c>
      <c r="I178" s="73" t="s">
        <v>250</v>
      </c>
    </row>
    <row r="179" customFormat="false" ht="15" hidden="false" customHeight="false" outlineLevel="0" collapsed="false">
      <c r="A179" s="72" t="n">
        <v>175</v>
      </c>
      <c r="B179" s="72" t="s">
        <v>953</v>
      </c>
      <c r="C179" s="72" t="s">
        <v>248</v>
      </c>
      <c r="D179" s="72" t="s">
        <v>577</v>
      </c>
      <c r="E179" s="73" t="s">
        <v>928</v>
      </c>
      <c r="F179" s="72" t="s">
        <v>929</v>
      </c>
      <c r="G179" s="74" t="n">
        <v>225266</v>
      </c>
      <c r="H179" s="75" t="s">
        <v>954</v>
      </c>
      <c r="I179" s="73" t="s">
        <v>250</v>
      </c>
    </row>
    <row r="180" customFormat="false" ht="15" hidden="false" customHeight="false" outlineLevel="0" collapsed="false">
      <c r="A180" s="72" t="n">
        <v>176</v>
      </c>
      <c r="B180" s="72" t="s">
        <v>955</v>
      </c>
      <c r="C180" s="72" t="s">
        <v>248</v>
      </c>
      <c r="D180" s="72" t="s">
        <v>577</v>
      </c>
      <c r="E180" s="73" t="s">
        <v>928</v>
      </c>
      <c r="F180" s="72" t="s">
        <v>929</v>
      </c>
      <c r="G180" s="74" t="n">
        <v>231061</v>
      </c>
      <c r="H180" s="75" t="s">
        <v>956</v>
      </c>
      <c r="I180" s="73" t="s">
        <v>250</v>
      </c>
    </row>
    <row r="181" customFormat="false" ht="15" hidden="false" customHeight="false" outlineLevel="0" collapsed="false">
      <c r="A181" s="72" t="n">
        <v>177</v>
      </c>
      <c r="B181" s="72" t="s">
        <v>957</v>
      </c>
      <c r="C181" s="72" t="s">
        <v>248</v>
      </c>
      <c r="D181" s="72" t="s">
        <v>577</v>
      </c>
      <c r="E181" s="73" t="s">
        <v>928</v>
      </c>
      <c r="F181" s="72" t="s">
        <v>929</v>
      </c>
      <c r="G181" s="74" t="n">
        <v>259482</v>
      </c>
      <c r="H181" s="75" t="s">
        <v>958</v>
      </c>
      <c r="I181" s="73" t="s">
        <v>250</v>
      </c>
    </row>
    <row r="182" customFormat="false" ht="15" hidden="false" customHeight="false" outlineLevel="0" collapsed="false">
      <c r="A182" s="72" t="n">
        <v>178</v>
      </c>
      <c r="B182" s="72" t="s">
        <v>959</v>
      </c>
      <c r="C182" s="72" t="s">
        <v>248</v>
      </c>
      <c r="D182" s="72" t="s">
        <v>577</v>
      </c>
      <c r="E182" s="73" t="s">
        <v>928</v>
      </c>
      <c r="F182" s="72" t="s">
        <v>929</v>
      </c>
      <c r="G182" s="74" t="n">
        <v>169394</v>
      </c>
      <c r="H182" s="75" t="s">
        <v>960</v>
      </c>
      <c r="I182" s="73" t="s">
        <v>250</v>
      </c>
    </row>
    <row r="183" customFormat="false" ht="15" hidden="false" customHeight="false" outlineLevel="0" collapsed="false">
      <c r="A183" s="72" t="n">
        <v>179</v>
      </c>
      <c r="B183" s="72" t="s">
        <v>961</v>
      </c>
      <c r="C183" s="72" t="s">
        <v>248</v>
      </c>
      <c r="D183" s="72" t="s">
        <v>577</v>
      </c>
      <c r="E183" s="73" t="s">
        <v>928</v>
      </c>
      <c r="F183" s="72" t="s">
        <v>929</v>
      </c>
      <c r="G183" s="74" t="n">
        <v>137153</v>
      </c>
      <c r="H183" s="75" t="s">
        <v>962</v>
      </c>
      <c r="I183" s="73" t="s">
        <v>250</v>
      </c>
    </row>
    <row r="184" customFormat="false" ht="15" hidden="false" customHeight="false" outlineLevel="0" collapsed="false">
      <c r="A184" s="72" t="n">
        <v>180</v>
      </c>
      <c r="B184" s="72" t="s">
        <v>963</v>
      </c>
      <c r="C184" s="72" t="s">
        <v>248</v>
      </c>
      <c r="D184" s="72" t="s">
        <v>577</v>
      </c>
      <c r="E184" s="73" t="s">
        <v>928</v>
      </c>
      <c r="F184" s="72" t="s">
        <v>929</v>
      </c>
      <c r="G184" s="74" t="n">
        <v>158886</v>
      </c>
      <c r="H184" s="75" t="s">
        <v>964</v>
      </c>
      <c r="I184" s="73" t="s">
        <v>250</v>
      </c>
    </row>
    <row r="185" customFormat="false" ht="15" hidden="false" customHeight="false" outlineLevel="0" collapsed="false">
      <c r="A185" s="72" t="n">
        <v>181</v>
      </c>
      <c r="B185" s="72" t="s">
        <v>965</v>
      </c>
      <c r="C185" s="72" t="s">
        <v>248</v>
      </c>
      <c r="D185" s="72" t="s">
        <v>577</v>
      </c>
      <c r="E185" s="73" t="s">
        <v>928</v>
      </c>
      <c r="F185" s="72" t="s">
        <v>929</v>
      </c>
      <c r="G185" s="74" t="n">
        <v>183794</v>
      </c>
      <c r="H185" s="75" t="s">
        <v>966</v>
      </c>
      <c r="I185" s="73" t="s">
        <v>250</v>
      </c>
    </row>
    <row r="186" customFormat="false" ht="15" hidden="false" customHeight="false" outlineLevel="0" collapsed="false">
      <c r="A186" s="72" t="n">
        <v>182</v>
      </c>
      <c r="B186" s="72" t="s">
        <v>967</v>
      </c>
      <c r="C186" s="72" t="s">
        <v>248</v>
      </c>
      <c r="D186" s="72" t="s">
        <v>577</v>
      </c>
      <c r="E186" s="73" t="s">
        <v>928</v>
      </c>
      <c r="F186" s="72" t="s">
        <v>929</v>
      </c>
      <c r="G186" s="74" t="n">
        <v>170589</v>
      </c>
      <c r="H186" s="75" t="s">
        <v>968</v>
      </c>
      <c r="I186" s="73" t="s">
        <v>250</v>
      </c>
    </row>
    <row r="187" customFormat="false" ht="15" hidden="false" customHeight="false" outlineLevel="0" collapsed="false">
      <c r="A187" s="72" t="n">
        <v>183</v>
      </c>
      <c r="B187" s="72" t="s">
        <v>969</v>
      </c>
      <c r="C187" s="72" t="s">
        <v>248</v>
      </c>
      <c r="D187" s="72" t="s">
        <v>577</v>
      </c>
      <c r="E187" s="73" t="s">
        <v>928</v>
      </c>
      <c r="F187" s="72" t="s">
        <v>929</v>
      </c>
      <c r="G187" s="74" t="n">
        <v>171820</v>
      </c>
      <c r="H187" s="75" t="s">
        <v>970</v>
      </c>
      <c r="I187" s="73" t="s">
        <v>250</v>
      </c>
    </row>
    <row r="188" customFormat="false" ht="15" hidden="false" customHeight="false" outlineLevel="0" collapsed="false">
      <c r="A188" s="72" t="n">
        <v>184</v>
      </c>
      <c r="B188" s="72" t="s">
        <v>971</v>
      </c>
      <c r="C188" s="72" t="s">
        <v>248</v>
      </c>
      <c r="D188" s="72" t="s">
        <v>577</v>
      </c>
      <c r="E188" s="73" t="s">
        <v>928</v>
      </c>
      <c r="F188" s="72" t="s">
        <v>929</v>
      </c>
      <c r="G188" s="74" t="n">
        <v>145202</v>
      </c>
      <c r="H188" s="75" t="s">
        <v>972</v>
      </c>
      <c r="I188" s="73" t="s">
        <v>250</v>
      </c>
    </row>
    <row r="189" customFormat="false" ht="15" hidden="false" customHeight="false" outlineLevel="0" collapsed="false">
      <c r="A189" s="72" t="n">
        <v>185</v>
      </c>
      <c r="B189" s="72" t="s">
        <v>973</v>
      </c>
      <c r="C189" s="72" t="s">
        <v>248</v>
      </c>
      <c r="D189" s="72" t="s">
        <v>577</v>
      </c>
      <c r="E189" s="73" t="s">
        <v>928</v>
      </c>
      <c r="F189" s="72" t="s">
        <v>929</v>
      </c>
      <c r="G189" s="74" t="n">
        <v>122106</v>
      </c>
      <c r="H189" s="75" t="s">
        <v>974</v>
      </c>
      <c r="I189" s="73" t="s">
        <v>250</v>
      </c>
    </row>
    <row r="190" customFormat="false" ht="15" hidden="false" customHeight="false" outlineLevel="0" collapsed="false">
      <c r="A190" s="72" t="n">
        <v>186</v>
      </c>
      <c r="B190" s="72" t="s">
        <v>975</v>
      </c>
      <c r="C190" s="72" t="s">
        <v>248</v>
      </c>
      <c r="D190" s="72" t="s">
        <v>577</v>
      </c>
      <c r="E190" s="73" t="s">
        <v>928</v>
      </c>
      <c r="F190" s="72" t="s">
        <v>929</v>
      </c>
      <c r="G190" s="74" t="n">
        <v>158886</v>
      </c>
      <c r="H190" s="75" t="s">
        <v>976</v>
      </c>
      <c r="I190" s="73" t="s">
        <v>250</v>
      </c>
    </row>
    <row r="191" customFormat="false" ht="15" hidden="false" customHeight="false" outlineLevel="0" collapsed="false">
      <c r="A191" s="72" t="n">
        <v>187</v>
      </c>
      <c r="B191" s="72" t="s">
        <v>977</v>
      </c>
      <c r="C191" s="72" t="s">
        <v>248</v>
      </c>
      <c r="D191" s="72" t="s">
        <v>577</v>
      </c>
      <c r="E191" s="73" t="s">
        <v>928</v>
      </c>
      <c r="F191" s="72" t="s">
        <v>929</v>
      </c>
      <c r="G191" s="74" t="n">
        <v>137138</v>
      </c>
      <c r="H191" s="75" t="s">
        <v>978</v>
      </c>
      <c r="I191" s="73" t="s">
        <v>250</v>
      </c>
    </row>
    <row r="192" customFormat="false" ht="15" hidden="false" customHeight="false" outlineLevel="0" collapsed="false">
      <c r="A192" s="72" t="n">
        <v>188</v>
      </c>
      <c r="B192" s="72" t="s">
        <v>979</v>
      </c>
      <c r="C192" s="72" t="s">
        <v>248</v>
      </c>
      <c r="D192" s="72" t="s">
        <v>577</v>
      </c>
      <c r="E192" s="73" t="s">
        <v>928</v>
      </c>
      <c r="F192" s="72" t="s">
        <v>929</v>
      </c>
      <c r="G192" s="74" t="n">
        <v>151363</v>
      </c>
      <c r="H192" s="75" t="s">
        <v>980</v>
      </c>
      <c r="I192" s="73" t="s">
        <v>250</v>
      </c>
    </row>
    <row r="193" customFormat="false" ht="15" hidden="false" customHeight="false" outlineLevel="0" collapsed="false">
      <c r="A193" s="72" t="n">
        <v>189</v>
      </c>
      <c r="B193" s="72" t="s">
        <v>981</v>
      </c>
      <c r="C193" s="72" t="s">
        <v>248</v>
      </c>
      <c r="D193" s="72" t="s">
        <v>577</v>
      </c>
      <c r="E193" s="73" t="s">
        <v>928</v>
      </c>
      <c r="F193" s="72" t="s">
        <v>929</v>
      </c>
      <c r="G193" s="74" t="n">
        <v>157633</v>
      </c>
      <c r="H193" s="75" t="s">
        <v>982</v>
      </c>
      <c r="I193" s="73" t="s">
        <v>250</v>
      </c>
    </row>
    <row r="194" customFormat="false" ht="15" hidden="false" customHeight="false" outlineLevel="0" collapsed="false">
      <c r="A194" s="72" t="n">
        <v>190</v>
      </c>
      <c r="B194" s="72" t="s">
        <v>983</v>
      </c>
      <c r="C194" s="72" t="s">
        <v>248</v>
      </c>
      <c r="D194" s="72" t="s">
        <v>577</v>
      </c>
      <c r="E194" s="73" t="s">
        <v>928</v>
      </c>
      <c r="F194" s="72" t="s">
        <v>929</v>
      </c>
      <c r="G194" s="74" t="n">
        <v>148082</v>
      </c>
      <c r="H194" s="75" t="s">
        <v>984</v>
      </c>
      <c r="I194" s="73" t="s">
        <v>250</v>
      </c>
    </row>
    <row r="195" customFormat="false" ht="15" hidden="false" customHeight="false" outlineLevel="0" collapsed="false">
      <c r="A195" s="72" t="n">
        <v>191</v>
      </c>
      <c r="B195" s="72" t="s">
        <v>985</v>
      </c>
      <c r="C195" s="72" t="s">
        <v>248</v>
      </c>
      <c r="D195" s="72" t="s">
        <v>577</v>
      </c>
      <c r="E195" s="73" t="s">
        <v>928</v>
      </c>
      <c r="F195" s="72" t="s">
        <v>929</v>
      </c>
      <c r="G195" s="74" t="n">
        <v>115419</v>
      </c>
      <c r="H195" s="75" t="s">
        <v>986</v>
      </c>
      <c r="I195" s="73" t="s">
        <v>250</v>
      </c>
    </row>
    <row r="196" customFormat="false" ht="15" hidden="false" customHeight="false" outlineLevel="0" collapsed="false">
      <c r="A196" s="72" t="n">
        <v>192</v>
      </c>
      <c r="B196" s="72" t="s">
        <v>987</v>
      </c>
      <c r="C196" s="72" t="s">
        <v>248</v>
      </c>
      <c r="D196" s="72" t="s">
        <v>577</v>
      </c>
      <c r="E196" s="73" t="s">
        <v>928</v>
      </c>
      <c r="F196" s="72" t="s">
        <v>929</v>
      </c>
      <c r="G196" s="74" t="n">
        <v>161812</v>
      </c>
      <c r="H196" s="75" t="s">
        <v>988</v>
      </c>
      <c r="I196" s="73" t="s">
        <v>250</v>
      </c>
    </row>
    <row r="197" customFormat="false" ht="15" hidden="false" customHeight="false" outlineLevel="0" collapsed="false">
      <c r="A197" s="72" t="n">
        <v>193</v>
      </c>
      <c r="B197" s="72" t="s">
        <v>989</v>
      </c>
      <c r="C197" s="72" t="s">
        <v>248</v>
      </c>
      <c r="D197" s="72" t="s">
        <v>577</v>
      </c>
      <c r="E197" s="73" t="s">
        <v>928</v>
      </c>
      <c r="F197" s="72" t="s">
        <v>929</v>
      </c>
      <c r="G197" s="74" t="n">
        <v>298994</v>
      </c>
      <c r="H197" s="75" t="s">
        <v>990</v>
      </c>
      <c r="I197" s="73" t="s">
        <v>250</v>
      </c>
    </row>
    <row r="198" customFormat="false" ht="15" hidden="false" customHeight="false" outlineLevel="0" collapsed="false">
      <c r="A198" s="72" t="n">
        <v>194</v>
      </c>
      <c r="B198" s="72" t="s">
        <v>991</v>
      </c>
      <c r="C198" s="72" t="s">
        <v>248</v>
      </c>
      <c r="D198" s="72" t="s">
        <v>577</v>
      </c>
      <c r="E198" s="73" t="s">
        <v>928</v>
      </c>
      <c r="F198" s="72" t="s">
        <v>929</v>
      </c>
      <c r="G198" s="74" t="n">
        <v>220326</v>
      </c>
      <c r="H198" s="75" t="s">
        <v>992</v>
      </c>
      <c r="I198" s="73" t="s">
        <v>250</v>
      </c>
    </row>
    <row r="199" customFormat="false" ht="15" hidden="false" customHeight="false" outlineLevel="0" collapsed="false">
      <c r="A199" s="72" t="n">
        <v>195</v>
      </c>
      <c r="B199" s="72" t="s">
        <v>993</v>
      </c>
      <c r="C199" s="72" t="s">
        <v>248</v>
      </c>
      <c r="D199" s="72" t="s">
        <v>577</v>
      </c>
      <c r="E199" s="73" t="s">
        <v>928</v>
      </c>
      <c r="F199" s="72" t="s">
        <v>929</v>
      </c>
      <c r="G199" s="74" t="n">
        <v>207788</v>
      </c>
      <c r="H199" s="75" t="s">
        <v>994</v>
      </c>
      <c r="I199" s="73" t="s">
        <v>250</v>
      </c>
    </row>
    <row r="200" customFormat="false" ht="15" hidden="false" customHeight="false" outlineLevel="0" collapsed="false">
      <c r="A200" s="72" t="n">
        <v>196</v>
      </c>
      <c r="B200" s="72" t="s">
        <v>995</v>
      </c>
      <c r="C200" s="72" t="s">
        <v>248</v>
      </c>
      <c r="D200" s="72" t="s">
        <v>577</v>
      </c>
      <c r="E200" s="73" t="s">
        <v>928</v>
      </c>
      <c r="F200" s="72" t="s">
        <v>929</v>
      </c>
      <c r="G200" s="74" t="n">
        <v>112370</v>
      </c>
      <c r="H200" s="75" t="s">
        <v>996</v>
      </c>
      <c r="I200" s="73" t="s">
        <v>250</v>
      </c>
    </row>
    <row r="201" customFormat="false" ht="15" hidden="false" customHeight="false" outlineLevel="0" collapsed="false">
      <c r="A201" s="72" t="n">
        <v>197</v>
      </c>
      <c r="B201" s="72" t="s">
        <v>997</v>
      </c>
      <c r="C201" s="72" t="s">
        <v>248</v>
      </c>
      <c r="D201" s="72" t="s">
        <v>577</v>
      </c>
      <c r="E201" s="73" t="s">
        <v>928</v>
      </c>
      <c r="F201" s="72" t="s">
        <v>929</v>
      </c>
      <c r="G201" s="74" t="n">
        <v>117926</v>
      </c>
      <c r="H201" s="75" t="s">
        <v>998</v>
      </c>
      <c r="I201" s="73" t="s">
        <v>250</v>
      </c>
    </row>
    <row r="202" customFormat="false" ht="15" hidden="false" customHeight="false" outlineLevel="0" collapsed="false">
      <c r="A202" s="72" t="n">
        <v>198</v>
      </c>
      <c r="B202" s="72" t="s">
        <v>999</v>
      </c>
      <c r="C202" s="72" t="s">
        <v>248</v>
      </c>
      <c r="D202" s="72" t="s">
        <v>577</v>
      </c>
      <c r="E202" s="73" t="s">
        <v>928</v>
      </c>
      <c r="F202" s="72" t="s">
        <v>929</v>
      </c>
      <c r="G202" s="74" t="n">
        <v>140078</v>
      </c>
      <c r="H202" s="75" t="s">
        <v>1000</v>
      </c>
      <c r="I202" s="73" t="s">
        <v>250</v>
      </c>
    </row>
    <row r="203" customFormat="false" ht="15" hidden="false" customHeight="false" outlineLevel="0" collapsed="false">
      <c r="A203" s="72" t="n">
        <v>199</v>
      </c>
      <c r="B203" s="72" t="s">
        <v>1001</v>
      </c>
      <c r="C203" s="72" t="s">
        <v>248</v>
      </c>
      <c r="D203" s="72" t="s">
        <v>577</v>
      </c>
      <c r="E203" s="73" t="s">
        <v>928</v>
      </c>
      <c r="F203" s="72" t="s">
        <v>929</v>
      </c>
      <c r="G203" s="74" t="n">
        <v>115826</v>
      </c>
      <c r="H203" s="75" t="s">
        <v>1002</v>
      </c>
      <c r="I203" s="73" t="s">
        <v>250</v>
      </c>
    </row>
    <row r="204" customFormat="false" ht="15" hidden="false" customHeight="false" outlineLevel="0" collapsed="false">
      <c r="A204" s="72" t="n">
        <v>200</v>
      </c>
      <c r="B204" s="72" t="s">
        <v>1003</v>
      </c>
      <c r="C204" s="72" t="s">
        <v>248</v>
      </c>
      <c r="D204" s="72" t="s">
        <v>577</v>
      </c>
      <c r="E204" s="73" t="s">
        <v>928</v>
      </c>
      <c r="F204" s="72" t="s">
        <v>929</v>
      </c>
      <c r="G204" s="74" t="n">
        <v>106642</v>
      </c>
      <c r="H204" s="75" t="s">
        <v>1004</v>
      </c>
      <c r="I204" s="73" t="s">
        <v>250</v>
      </c>
    </row>
    <row r="205" customFormat="false" ht="15" hidden="false" customHeight="false" outlineLevel="0" collapsed="false">
      <c r="A205" s="72" t="n">
        <v>201</v>
      </c>
      <c r="B205" s="72" t="s">
        <v>1005</v>
      </c>
      <c r="C205" s="72" t="s">
        <v>248</v>
      </c>
      <c r="D205" s="72" t="s">
        <v>577</v>
      </c>
      <c r="E205" s="73" t="s">
        <v>928</v>
      </c>
      <c r="F205" s="72" t="s">
        <v>929</v>
      </c>
      <c r="G205" s="74" t="n">
        <v>123360</v>
      </c>
      <c r="H205" s="75" t="s">
        <v>1006</v>
      </c>
      <c r="I205" s="73" t="s">
        <v>250</v>
      </c>
    </row>
    <row r="206" customFormat="false" ht="15" hidden="false" customHeight="false" outlineLevel="0" collapsed="false">
      <c r="A206" s="72" t="n">
        <v>202</v>
      </c>
      <c r="B206" s="72" t="s">
        <v>1007</v>
      </c>
      <c r="C206" s="72" t="s">
        <v>248</v>
      </c>
      <c r="D206" s="72" t="s">
        <v>577</v>
      </c>
      <c r="E206" s="73" t="s">
        <v>928</v>
      </c>
      <c r="F206" s="72" t="s">
        <v>929</v>
      </c>
      <c r="G206" s="74" t="n">
        <v>129650</v>
      </c>
      <c r="H206" s="75" t="s">
        <v>1008</v>
      </c>
      <c r="I206" s="73" t="s">
        <v>250</v>
      </c>
    </row>
    <row r="207" customFormat="false" ht="15" hidden="false" customHeight="false" outlineLevel="0" collapsed="false">
      <c r="A207" s="72" t="n">
        <v>203</v>
      </c>
      <c r="B207" s="72" t="s">
        <v>1009</v>
      </c>
      <c r="C207" s="72" t="s">
        <v>248</v>
      </c>
      <c r="D207" s="72" t="s">
        <v>577</v>
      </c>
      <c r="E207" s="73" t="s">
        <v>928</v>
      </c>
      <c r="F207" s="72" t="s">
        <v>929</v>
      </c>
      <c r="G207" s="74" t="n">
        <v>110403</v>
      </c>
      <c r="H207" s="75" t="s">
        <v>1010</v>
      </c>
      <c r="I207" s="73" t="s">
        <v>250</v>
      </c>
    </row>
    <row r="208" customFormat="false" ht="15" hidden="false" customHeight="false" outlineLevel="0" collapsed="false">
      <c r="A208" s="72" t="n">
        <v>204</v>
      </c>
      <c r="B208" s="72" t="s">
        <v>1011</v>
      </c>
      <c r="C208" s="72" t="s">
        <v>248</v>
      </c>
      <c r="D208" s="72" t="s">
        <v>577</v>
      </c>
      <c r="E208" s="73" t="s">
        <v>928</v>
      </c>
      <c r="F208" s="72" t="s">
        <v>929</v>
      </c>
      <c r="G208" s="74" t="n">
        <v>146348</v>
      </c>
      <c r="H208" s="75" t="s">
        <v>1012</v>
      </c>
      <c r="I208" s="73" t="s">
        <v>250</v>
      </c>
    </row>
    <row r="209" customFormat="false" ht="15" hidden="false" customHeight="false" outlineLevel="0" collapsed="false">
      <c r="A209" s="72" t="n">
        <v>205</v>
      </c>
      <c r="B209" s="72" t="s">
        <v>1013</v>
      </c>
      <c r="C209" s="72" t="s">
        <v>248</v>
      </c>
      <c r="D209" s="72" t="s">
        <v>577</v>
      </c>
      <c r="E209" s="73" t="s">
        <v>928</v>
      </c>
      <c r="F209" s="72" t="s">
        <v>929</v>
      </c>
      <c r="G209" s="74" t="n">
        <v>150962</v>
      </c>
      <c r="H209" s="75" t="s">
        <v>1014</v>
      </c>
      <c r="I209" s="73" t="s">
        <v>250</v>
      </c>
    </row>
    <row r="210" customFormat="false" ht="15" hidden="false" customHeight="false" outlineLevel="0" collapsed="false">
      <c r="A210" s="72" t="n">
        <v>206</v>
      </c>
      <c r="B210" s="72" t="s">
        <v>1015</v>
      </c>
      <c r="C210" s="72" t="s">
        <v>248</v>
      </c>
      <c r="D210" s="72" t="s">
        <v>577</v>
      </c>
      <c r="E210" s="73" t="s">
        <v>928</v>
      </c>
      <c r="F210" s="72" t="s">
        <v>929</v>
      </c>
      <c r="G210" s="74" t="n">
        <v>112911</v>
      </c>
      <c r="H210" s="75" t="s">
        <v>1016</v>
      </c>
      <c r="I210" s="73" t="s">
        <v>250</v>
      </c>
    </row>
    <row r="211" customFormat="false" ht="15" hidden="false" customHeight="false" outlineLevel="0" collapsed="false">
      <c r="A211" s="72" t="n">
        <v>207</v>
      </c>
      <c r="B211" s="72" t="s">
        <v>1017</v>
      </c>
      <c r="C211" s="72" t="s">
        <v>248</v>
      </c>
      <c r="D211" s="72" t="s">
        <v>577</v>
      </c>
      <c r="E211" s="73" t="s">
        <v>928</v>
      </c>
      <c r="F211" s="72" t="s">
        <v>929</v>
      </c>
      <c r="G211" s="74" t="n">
        <v>164320</v>
      </c>
      <c r="H211" s="75" t="s">
        <v>1018</v>
      </c>
      <c r="I211" s="73" t="s">
        <v>250</v>
      </c>
    </row>
    <row r="212" customFormat="false" ht="15" hidden="false" customHeight="false" outlineLevel="0" collapsed="false">
      <c r="A212" s="72" t="n">
        <v>208</v>
      </c>
      <c r="B212" s="72" t="s">
        <v>1019</v>
      </c>
      <c r="C212" s="72" t="s">
        <v>248</v>
      </c>
      <c r="D212" s="72" t="s">
        <v>577</v>
      </c>
      <c r="E212" s="73" t="s">
        <v>928</v>
      </c>
      <c r="F212" s="72" t="s">
        <v>929</v>
      </c>
      <c r="G212" s="74" t="n">
        <v>107256</v>
      </c>
      <c r="H212" s="75" t="s">
        <v>1020</v>
      </c>
      <c r="I212" s="73" t="s">
        <v>250</v>
      </c>
    </row>
    <row r="213" customFormat="false" ht="15" hidden="false" customHeight="false" outlineLevel="0" collapsed="false">
      <c r="A213" s="72" t="n">
        <v>209</v>
      </c>
      <c r="B213" s="72" t="s">
        <v>1021</v>
      </c>
      <c r="C213" s="72" t="s">
        <v>248</v>
      </c>
      <c r="D213" s="72" t="s">
        <v>577</v>
      </c>
      <c r="E213" s="73" t="s">
        <v>928</v>
      </c>
      <c r="F213" s="72" t="s">
        <v>929</v>
      </c>
      <c r="G213" s="74" t="n">
        <v>54467</v>
      </c>
      <c r="H213" s="75" t="s">
        <v>1022</v>
      </c>
      <c r="I213" s="73" t="s">
        <v>250</v>
      </c>
    </row>
    <row r="214" customFormat="false" ht="15" hidden="false" customHeight="false" outlineLevel="0" collapsed="false">
      <c r="A214" s="72" t="n">
        <v>210</v>
      </c>
      <c r="B214" s="72" t="s">
        <v>1023</v>
      </c>
      <c r="C214" s="72" t="s">
        <v>248</v>
      </c>
      <c r="D214" s="72" t="s">
        <v>577</v>
      </c>
      <c r="E214" s="73" t="s">
        <v>928</v>
      </c>
      <c r="F214" s="72" t="s">
        <v>929</v>
      </c>
      <c r="G214" s="74" t="n">
        <v>49508</v>
      </c>
      <c r="H214" s="75" t="s">
        <v>1024</v>
      </c>
      <c r="I214" s="73" t="s">
        <v>250</v>
      </c>
    </row>
    <row r="215" customFormat="false" ht="15" hidden="false" customHeight="false" outlineLevel="0" collapsed="false">
      <c r="A215" s="72" t="n">
        <v>211</v>
      </c>
      <c r="B215" s="72" t="s">
        <v>1025</v>
      </c>
      <c r="C215" s="72" t="s">
        <v>248</v>
      </c>
      <c r="D215" s="72" t="s">
        <v>577</v>
      </c>
      <c r="E215" s="73" t="s">
        <v>928</v>
      </c>
      <c r="F215" s="72" t="s">
        <v>929</v>
      </c>
      <c r="G215" s="74" t="n">
        <v>136095</v>
      </c>
      <c r="H215" s="75" t="s">
        <v>1026</v>
      </c>
      <c r="I215" s="73" t="s">
        <v>250</v>
      </c>
    </row>
    <row r="216" customFormat="false" ht="15" hidden="false" customHeight="false" outlineLevel="0" collapsed="false">
      <c r="A216" s="72" t="n">
        <v>212</v>
      </c>
      <c r="B216" s="72" t="s">
        <v>1027</v>
      </c>
      <c r="C216" s="72" t="s">
        <v>248</v>
      </c>
      <c r="D216" s="72" t="s">
        <v>577</v>
      </c>
      <c r="E216" s="73" t="s">
        <v>928</v>
      </c>
      <c r="F216" s="72" t="s">
        <v>929</v>
      </c>
      <c r="G216" s="74" t="n">
        <v>69536</v>
      </c>
      <c r="H216" s="75" t="s">
        <v>1028</v>
      </c>
      <c r="I216" s="73" t="s">
        <v>250</v>
      </c>
    </row>
    <row r="217" customFormat="false" ht="15" hidden="false" customHeight="false" outlineLevel="0" collapsed="false">
      <c r="A217" s="72" t="n">
        <v>213</v>
      </c>
      <c r="B217" s="72" t="s">
        <v>1029</v>
      </c>
      <c r="C217" s="72" t="s">
        <v>248</v>
      </c>
      <c r="D217" s="72" t="s">
        <v>577</v>
      </c>
      <c r="E217" s="73" t="s">
        <v>928</v>
      </c>
      <c r="F217" s="72" t="s">
        <v>929</v>
      </c>
      <c r="G217" s="74" t="n">
        <v>80091</v>
      </c>
      <c r="H217" s="75" t="s">
        <v>1030</v>
      </c>
      <c r="I217" s="73" t="s">
        <v>250</v>
      </c>
    </row>
    <row r="218" customFormat="false" ht="15" hidden="false" customHeight="false" outlineLevel="0" collapsed="false">
      <c r="A218" s="72" t="n">
        <v>214</v>
      </c>
      <c r="B218" s="72" t="s">
        <v>1031</v>
      </c>
      <c r="C218" s="72" t="s">
        <v>248</v>
      </c>
      <c r="D218" s="72" t="s">
        <v>577</v>
      </c>
      <c r="E218" s="73" t="s">
        <v>928</v>
      </c>
      <c r="F218" s="72" t="s">
        <v>929</v>
      </c>
      <c r="G218" s="74" t="n">
        <v>129199</v>
      </c>
      <c r="H218" s="75" t="s">
        <v>1032</v>
      </c>
      <c r="I218" s="73" t="s">
        <v>250</v>
      </c>
    </row>
    <row r="219" customFormat="false" ht="15" hidden="false" customHeight="false" outlineLevel="0" collapsed="false">
      <c r="A219" s="72" t="n">
        <v>215</v>
      </c>
      <c r="B219" s="72" t="s">
        <v>1033</v>
      </c>
      <c r="C219" s="72" t="s">
        <v>248</v>
      </c>
      <c r="D219" s="72" t="s">
        <v>577</v>
      </c>
      <c r="E219" s="73" t="s">
        <v>928</v>
      </c>
      <c r="F219" s="72" t="s">
        <v>929</v>
      </c>
      <c r="G219" s="74" t="n">
        <v>61629</v>
      </c>
      <c r="H219" s="75" t="s">
        <v>1034</v>
      </c>
      <c r="I219" s="73" t="s">
        <v>250</v>
      </c>
    </row>
    <row r="220" customFormat="false" ht="15" hidden="false" customHeight="false" outlineLevel="0" collapsed="false">
      <c r="A220" s="72" t="n">
        <v>216</v>
      </c>
      <c r="B220" s="72" t="s">
        <v>1035</v>
      </c>
      <c r="C220" s="72" t="s">
        <v>248</v>
      </c>
      <c r="D220" s="72" t="s">
        <v>577</v>
      </c>
      <c r="E220" s="73" t="s">
        <v>928</v>
      </c>
      <c r="F220" s="72" t="s">
        <v>929</v>
      </c>
      <c r="G220" s="74" t="n">
        <v>81435</v>
      </c>
      <c r="H220" s="75" t="s">
        <v>1036</v>
      </c>
      <c r="I220" s="73" t="s">
        <v>250</v>
      </c>
    </row>
    <row r="221" customFormat="false" ht="15" hidden="false" customHeight="false" outlineLevel="0" collapsed="false">
      <c r="A221" s="72" t="n">
        <v>217</v>
      </c>
      <c r="B221" s="72" t="s">
        <v>1037</v>
      </c>
      <c r="C221" s="72" t="s">
        <v>248</v>
      </c>
      <c r="D221" s="72" t="s">
        <v>577</v>
      </c>
      <c r="E221" s="73" t="s">
        <v>928</v>
      </c>
      <c r="F221" s="72" t="s">
        <v>929</v>
      </c>
      <c r="G221" s="74" t="n">
        <v>149261</v>
      </c>
      <c r="H221" s="75" t="s">
        <v>1038</v>
      </c>
      <c r="I221" s="73" t="s">
        <v>250</v>
      </c>
    </row>
    <row r="222" customFormat="false" ht="15" hidden="false" customHeight="false" outlineLevel="0" collapsed="false">
      <c r="A222" s="72" t="n">
        <v>218</v>
      </c>
      <c r="B222" s="72" t="s">
        <v>1039</v>
      </c>
      <c r="C222" s="72" t="s">
        <v>248</v>
      </c>
      <c r="D222" s="72" t="s">
        <v>577</v>
      </c>
      <c r="E222" s="73" t="s">
        <v>928</v>
      </c>
      <c r="F222" s="72" t="s">
        <v>929</v>
      </c>
      <c r="G222" s="74" t="n">
        <v>97756</v>
      </c>
      <c r="H222" s="75" t="s">
        <v>1040</v>
      </c>
      <c r="I222" s="73" t="s">
        <v>250</v>
      </c>
    </row>
    <row r="223" customFormat="false" ht="15" hidden="false" customHeight="false" outlineLevel="0" collapsed="false">
      <c r="A223" s="72" t="n">
        <v>219</v>
      </c>
      <c r="B223" s="72" t="s">
        <v>1041</v>
      </c>
      <c r="C223" s="72" t="s">
        <v>248</v>
      </c>
      <c r="D223" s="72" t="s">
        <v>577</v>
      </c>
      <c r="E223" s="73" t="s">
        <v>928</v>
      </c>
      <c r="F223" s="72" t="s">
        <v>929</v>
      </c>
      <c r="G223" s="74" t="n">
        <v>94267</v>
      </c>
      <c r="H223" s="75" t="s">
        <v>1042</v>
      </c>
      <c r="I223" s="73" t="s">
        <v>250</v>
      </c>
    </row>
    <row r="224" customFormat="false" ht="15" hidden="false" customHeight="false" outlineLevel="0" collapsed="false">
      <c r="A224" s="72" t="n">
        <v>220</v>
      </c>
      <c r="B224" s="72" t="s">
        <v>1043</v>
      </c>
      <c r="C224" s="72" t="s">
        <v>248</v>
      </c>
      <c r="D224" s="72" t="s">
        <v>577</v>
      </c>
      <c r="E224" s="73" t="s">
        <v>928</v>
      </c>
      <c r="F224" s="72" t="s">
        <v>929</v>
      </c>
      <c r="G224" s="74" t="n">
        <v>158038</v>
      </c>
      <c r="H224" s="75" t="s">
        <v>1044</v>
      </c>
      <c r="I224" s="73" t="s">
        <v>250</v>
      </c>
    </row>
    <row r="225" customFormat="false" ht="15" hidden="false" customHeight="false" outlineLevel="0" collapsed="false">
      <c r="A225" s="72" t="n">
        <v>221</v>
      </c>
      <c r="B225" s="72" t="s">
        <v>1045</v>
      </c>
      <c r="C225" s="72" t="s">
        <v>248</v>
      </c>
      <c r="D225" s="72" t="s">
        <v>577</v>
      </c>
      <c r="E225" s="73" t="s">
        <v>928</v>
      </c>
      <c r="F225" s="72" t="s">
        <v>929</v>
      </c>
      <c r="G225" s="74" t="n">
        <v>79650</v>
      </c>
      <c r="H225" s="75" t="s">
        <v>1046</v>
      </c>
      <c r="I225" s="73" t="s">
        <v>250</v>
      </c>
    </row>
    <row r="226" customFormat="false" ht="15" hidden="false" customHeight="false" outlineLevel="0" collapsed="false">
      <c r="A226" s="72" t="n">
        <v>222</v>
      </c>
      <c r="B226" s="72" t="s">
        <v>1047</v>
      </c>
      <c r="C226" s="72" t="s">
        <v>248</v>
      </c>
      <c r="D226" s="72" t="s">
        <v>577</v>
      </c>
      <c r="E226" s="73" t="s">
        <v>928</v>
      </c>
      <c r="F226" s="72" t="s">
        <v>929</v>
      </c>
      <c r="G226" s="74" t="n">
        <v>102503</v>
      </c>
      <c r="H226" s="75" t="s">
        <v>1048</v>
      </c>
      <c r="I226" s="73" t="s">
        <v>250</v>
      </c>
    </row>
    <row r="227" customFormat="false" ht="15" hidden="false" customHeight="false" outlineLevel="0" collapsed="false">
      <c r="A227" s="72" t="n">
        <v>223</v>
      </c>
      <c r="B227" s="72" t="s">
        <v>1049</v>
      </c>
      <c r="C227" s="72" t="s">
        <v>248</v>
      </c>
      <c r="D227" s="72" t="s">
        <v>577</v>
      </c>
      <c r="E227" s="73" t="s">
        <v>928</v>
      </c>
      <c r="F227" s="72" t="s">
        <v>929</v>
      </c>
      <c r="G227" s="74" t="n">
        <v>239540</v>
      </c>
      <c r="H227" s="75" t="s">
        <v>1050</v>
      </c>
      <c r="I227" s="73" t="s">
        <v>250</v>
      </c>
    </row>
    <row r="228" customFormat="false" ht="15" hidden="false" customHeight="false" outlineLevel="0" collapsed="false">
      <c r="A228" s="72" t="n">
        <v>224</v>
      </c>
      <c r="B228" s="72" t="s">
        <v>1051</v>
      </c>
      <c r="C228" s="72" t="s">
        <v>248</v>
      </c>
      <c r="D228" s="72" t="s">
        <v>577</v>
      </c>
      <c r="E228" s="73" t="s">
        <v>928</v>
      </c>
      <c r="F228" s="72" t="s">
        <v>929</v>
      </c>
      <c r="G228" s="74" t="n">
        <v>140028</v>
      </c>
      <c r="H228" s="75" t="s">
        <v>1052</v>
      </c>
      <c r="I228" s="73" t="s">
        <v>250</v>
      </c>
    </row>
    <row r="229" customFormat="false" ht="15" hidden="false" customHeight="false" outlineLevel="0" collapsed="false">
      <c r="A229" s="72" t="n">
        <v>225</v>
      </c>
      <c r="B229" s="72" t="s">
        <v>1053</v>
      </c>
      <c r="C229" s="72" t="s">
        <v>248</v>
      </c>
      <c r="D229" s="72" t="s">
        <v>577</v>
      </c>
      <c r="E229" s="73" t="s">
        <v>928</v>
      </c>
      <c r="F229" s="72" t="s">
        <v>929</v>
      </c>
      <c r="G229" s="74" t="n">
        <v>149961</v>
      </c>
      <c r="H229" s="75" t="s">
        <v>1054</v>
      </c>
      <c r="I229" s="73" t="s">
        <v>250</v>
      </c>
    </row>
    <row r="230" customFormat="false" ht="15" hidden="false" customHeight="false" outlineLevel="0" collapsed="false">
      <c r="A230" s="72" t="n">
        <v>226</v>
      </c>
      <c r="B230" s="72" t="s">
        <v>1055</v>
      </c>
      <c r="C230" s="72" t="s">
        <v>248</v>
      </c>
      <c r="D230" s="72" t="s">
        <v>577</v>
      </c>
      <c r="E230" s="73" t="s">
        <v>722</v>
      </c>
      <c r="F230" s="72" t="s">
        <v>843</v>
      </c>
      <c r="G230" s="74" t="n">
        <v>475008</v>
      </c>
      <c r="H230" s="75" t="s">
        <v>1056</v>
      </c>
      <c r="I230" s="73" t="s">
        <v>250</v>
      </c>
    </row>
    <row r="231" customFormat="false" ht="15" hidden="false" customHeight="false" outlineLevel="0" collapsed="false">
      <c r="A231" s="72" t="n">
        <v>227</v>
      </c>
      <c r="B231" s="72" t="s">
        <v>1057</v>
      </c>
      <c r="C231" s="72" t="s">
        <v>248</v>
      </c>
      <c r="D231" s="72" t="s">
        <v>577</v>
      </c>
      <c r="E231" s="73" t="s">
        <v>722</v>
      </c>
      <c r="F231" s="72" t="s">
        <v>843</v>
      </c>
      <c r="G231" s="74" t="n">
        <v>490778</v>
      </c>
      <c r="H231" s="75" t="s">
        <v>1058</v>
      </c>
      <c r="I231" s="73" t="s">
        <v>250</v>
      </c>
    </row>
    <row r="232" customFormat="false" ht="15" hidden="false" customHeight="false" outlineLevel="0" collapsed="false">
      <c r="A232" s="72" t="n">
        <v>228</v>
      </c>
      <c r="B232" s="72" t="s">
        <v>1059</v>
      </c>
      <c r="C232" s="72" t="s">
        <v>248</v>
      </c>
      <c r="D232" s="72" t="s">
        <v>577</v>
      </c>
      <c r="E232" s="73" t="s">
        <v>722</v>
      </c>
      <c r="F232" s="72" t="s">
        <v>843</v>
      </c>
      <c r="G232" s="74" t="n">
        <v>136586</v>
      </c>
      <c r="H232" s="75" t="s">
        <v>1060</v>
      </c>
      <c r="I232" s="73" t="s">
        <v>250</v>
      </c>
    </row>
    <row r="233" customFormat="false" ht="15" hidden="false" customHeight="false" outlineLevel="0" collapsed="false">
      <c r="A233" s="72" t="n">
        <v>229</v>
      </c>
      <c r="B233" s="72" t="s">
        <v>1061</v>
      </c>
      <c r="C233" s="72" t="s">
        <v>248</v>
      </c>
      <c r="D233" s="72" t="s">
        <v>577</v>
      </c>
      <c r="E233" s="73" t="s">
        <v>722</v>
      </c>
      <c r="F233" s="72" t="s">
        <v>843</v>
      </c>
      <c r="G233" s="74" t="n">
        <v>93430</v>
      </c>
      <c r="H233" s="75" t="s">
        <v>1062</v>
      </c>
      <c r="I233" s="73" t="s">
        <v>250</v>
      </c>
    </row>
    <row r="234" customFormat="false" ht="15" hidden="false" customHeight="false" outlineLevel="0" collapsed="false">
      <c r="A234" s="72" t="n">
        <v>230</v>
      </c>
      <c r="B234" s="72" t="s">
        <v>1063</v>
      </c>
      <c r="C234" s="72" t="s">
        <v>248</v>
      </c>
      <c r="D234" s="72" t="s">
        <v>577</v>
      </c>
      <c r="E234" s="73" t="s">
        <v>722</v>
      </c>
      <c r="F234" s="72" t="s">
        <v>843</v>
      </c>
      <c r="G234" s="74" t="n">
        <v>56994</v>
      </c>
      <c r="H234" s="75" t="s">
        <v>1064</v>
      </c>
      <c r="I234" s="73" t="s">
        <v>250</v>
      </c>
    </row>
    <row r="235" customFormat="false" ht="15" hidden="false" customHeight="false" outlineLevel="0" collapsed="false">
      <c r="A235" s="72" t="n">
        <v>231</v>
      </c>
      <c r="B235" s="72" t="s">
        <v>1065</v>
      </c>
      <c r="C235" s="72" t="s">
        <v>248</v>
      </c>
      <c r="D235" s="72" t="s">
        <v>577</v>
      </c>
      <c r="E235" s="73" t="s">
        <v>722</v>
      </c>
      <c r="F235" s="72" t="s">
        <v>843</v>
      </c>
      <c r="G235" s="74" t="n">
        <v>125380</v>
      </c>
      <c r="H235" s="75" t="s">
        <v>1066</v>
      </c>
      <c r="I235" s="73" t="s">
        <v>250</v>
      </c>
    </row>
    <row r="236" customFormat="false" ht="15" hidden="false" customHeight="false" outlineLevel="0" collapsed="false">
      <c r="A236" s="72" t="n">
        <v>232</v>
      </c>
      <c r="B236" s="72" t="s">
        <v>1067</v>
      </c>
      <c r="C236" s="72" t="s">
        <v>248</v>
      </c>
      <c r="D236" s="72" t="s">
        <v>577</v>
      </c>
      <c r="E236" s="73" t="s">
        <v>722</v>
      </c>
      <c r="F236" s="72" t="s">
        <v>843</v>
      </c>
      <c r="G236" s="74" t="n">
        <v>799636</v>
      </c>
      <c r="H236" s="75" t="s">
        <v>1068</v>
      </c>
      <c r="I236" s="73" t="s">
        <v>250</v>
      </c>
    </row>
    <row r="237" customFormat="false" ht="15" hidden="false" customHeight="false" outlineLevel="0" collapsed="false">
      <c r="A237" s="72" t="n">
        <v>233</v>
      </c>
      <c r="B237" s="72" t="s">
        <v>1069</v>
      </c>
      <c r="C237" s="72" t="s">
        <v>248</v>
      </c>
      <c r="D237" s="72" t="s">
        <v>577</v>
      </c>
      <c r="E237" s="73" t="s">
        <v>722</v>
      </c>
      <c r="F237" s="72" t="s">
        <v>843</v>
      </c>
      <c r="G237" s="74" t="n">
        <v>498122</v>
      </c>
      <c r="H237" s="75" t="s">
        <v>1070</v>
      </c>
      <c r="I237" s="73" t="s">
        <v>250</v>
      </c>
    </row>
    <row r="238" customFormat="false" ht="15" hidden="false" customHeight="false" outlineLevel="0" collapsed="false">
      <c r="A238" s="72" t="n">
        <v>234</v>
      </c>
      <c r="B238" s="72" t="s">
        <v>1071</v>
      </c>
      <c r="C238" s="72" t="s">
        <v>248</v>
      </c>
      <c r="D238" s="72" t="s">
        <v>577</v>
      </c>
      <c r="E238" s="73" t="s">
        <v>722</v>
      </c>
      <c r="F238" s="72" t="s">
        <v>843</v>
      </c>
      <c r="G238" s="74" t="n">
        <v>421498</v>
      </c>
      <c r="H238" s="75" t="s">
        <v>1072</v>
      </c>
      <c r="I238" s="73" t="s">
        <v>250</v>
      </c>
    </row>
    <row r="239" customFormat="false" ht="15" hidden="false" customHeight="false" outlineLevel="0" collapsed="false">
      <c r="A239" s="72" t="n">
        <v>235</v>
      </c>
      <c r="B239" s="72" t="s">
        <v>1073</v>
      </c>
      <c r="C239" s="72" t="s">
        <v>248</v>
      </c>
      <c r="D239" s="72" t="s">
        <v>577</v>
      </c>
      <c r="E239" s="73" t="s">
        <v>722</v>
      </c>
      <c r="F239" s="72" t="s">
        <v>843</v>
      </c>
      <c r="G239" s="74" t="n">
        <v>44380</v>
      </c>
      <c r="H239" s="75" t="s">
        <v>1074</v>
      </c>
      <c r="I239" s="73" t="s">
        <v>250</v>
      </c>
    </row>
    <row r="240" customFormat="false" ht="15" hidden="false" customHeight="false" outlineLevel="0" collapsed="false">
      <c r="A240" s="72" t="n">
        <v>236</v>
      </c>
      <c r="B240" s="72" t="s">
        <v>1075</v>
      </c>
      <c r="C240" s="72" t="s">
        <v>248</v>
      </c>
      <c r="D240" s="72" t="s">
        <v>577</v>
      </c>
      <c r="E240" s="73" t="s">
        <v>722</v>
      </c>
      <c r="F240" s="72" t="s">
        <v>843</v>
      </c>
      <c r="G240" s="74" t="n">
        <v>63834</v>
      </c>
      <c r="H240" s="75" t="s">
        <v>1076</v>
      </c>
      <c r="I240" s="73" t="s">
        <v>250</v>
      </c>
    </row>
    <row r="241" customFormat="false" ht="15" hidden="false" customHeight="false" outlineLevel="0" collapsed="false">
      <c r="A241" s="72" t="n">
        <v>237</v>
      </c>
      <c r="B241" s="72" t="s">
        <v>1077</v>
      </c>
      <c r="C241" s="72" t="s">
        <v>248</v>
      </c>
      <c r="D241" s="72" t="s">
        <v>577</v>
      </c>
      <c r="E241" s="73" t="s">
        <v>722</v>
      </c>
      <c r="F241" s="72" t="s">
        <v>843</v>
      </c>
      <c r="G241" s="74" t="n">
        <v>16974</v>
      </c>
      <c r="H241" s="75" t="s">
        <v>1078</v>
      </c>
      <c r="I241" s="73" t="s">
        <v>250</v>
      </c>
    </row>
    <row r="242" customFormat="false" ht="15" hidden="false" customHeight="false" outlineLevel="0" collapsed="false">
      <c r="A242" s="72" t="n">
        <v>238</v>
      </c>
      <c r="B242" s="72" t="s">
        <v>1079</v>
      </c>
      <c r="C242" s="72" t="s">
        <v>248</v>
      </c>
      <c r="D242" s="72" t="s">
        <v>577</v>
      </c>
      <c r="E242" s="73" t="s">
        <v>722</v>
      </c>
      <c r="F242" s="72" t="s">
        <v>843</v>
      </c>
      <c r="G242" s="74" t="n">
        <v>525996</v>
      </c>
      <c r="H242" s="75" t="s">
        <v>1080</v>
      </c>
      <c r="I242" s="73" t="s">
        <v>250</v>
      </c>
    </row>
    <row r="243" customFormat="false" ht="15" hidden="false" customHeight="false" outlineLevel="0" collapsed="false">
      <c r="A243" s="72" t="n">
        <v>239</v>
      </c>
      <c r="B243" s="72" t="s">
        <v>1081</v>
      </c>
      <c r="C243" s="72" t="s">
        <v>248</v>
      </c>
      <c r="D243" s="72" t="s">
        <v>577</v>
      </c>
      <c r="E243" s="73" t="s">
        <v>722</v>
      </c>
      <c r="F243" s="72" t="s">
        <v>843</v>
      </c>
      <c r="G243" s="74" t="n">
        <v>49210</v>
      </c>
      <c r="H243" s="75" t="s">
        <v>1082</v>
      </c>
      <c r="I243" s="73" t="s">
        <v>250</v>
      </c>
    </row>
    <row r="244" customFormat="false" ht="15" hidden="false" customHeight="false" outlineLevel="0" collapsed="false">
      <c r="A244" s="72" t="n">
        <v>240</v>
      </c>
      <c r="B244" s="72" t="s">
        <v>1083</v>
      </c>
      <c r="C244" s="72" t="s">
        <v>248</v>
      </c>
      <c r="D244" s="72" t="s">
        <v>577</v>
      </c>
      <c r="E244" s="73" t="s">
        <v>722</v>
      </c>
      <c r="F244" s="72" t="s">
        <v>843</v>
      </c>
      <c r="G244" s="74" t="n">
        <v>441426</v>
      </c>
      <c r="H244" s="75" t="s">
        <v>1084</v>
      </c>
      <c r="I244" s="73" t="s">
        <v>250</v>
      </c>
    </row>
    <row r="245" customFormat="false" ht="15" hidden="false" customHeight="false" outlineLevel="0" collapsed="false">
      <c r="A245" s="72" t="n">
        <v>241</v>
      </c>
      <c r="B245" s="72" t="s">
        <v>1085</v>
      </c>
      <c r="C245" s="72" t="s">
        <v>248</v>
      </c>
      <c r="D245" s="72" t="s">
        <v>577</v>
      </c>
      <c r="E245" s="73" t="s">
        <v>722</v>
      </c>
      <c r="F245" s="72" t="s">
        <v>843</v>
      </c>
      <c r="G245" s="74" t="n">
        <v>226530</v>
      </c>
      <c r="H245" s="75" t="s">
        <v>1086</v>
      </c>
      <c r="I245" s="73" t="s">
        <v>250</v>
      </c>
    </row>
    <row r="246" customFormat="false" ht="15" hidden="false" customHeight="false" outlineLevel="0" collapsed="false">
      <c r="A246" s="72" t="n">
        <v>242</v>
      </c>
      <c r="B246" s="72" t="s">
        <v>1087</v>
      </c>
      <c r="C246" s="72" t="s">
        <v>248</v>
      </c>
      <c r="D246" s="72" t="s">
        <v>577</v>
      </c>
      <c r="E246" s="73" t="s">
        <v>722</v>
      </c>
      <c r="F246" s="72" t="s">
        <v>843</v>
      </c>
      <c r="G246" s="74" t="n">
        <v>277688</v>
      </c>
      <c r="H246" s="75" t="s">
        <v>1088</v>
      </c>
      <c r="I246" s="73" t="s">
        <v>250</v>
      </c>
    </row>
    <row r="247" customFormat="false" ht="15" hidden="false" customHeight="false" outlineLevel="0" collapsed="false">
      <c r="A247" s="72" t="n">
        <v>243</v>
      </c>
      <c r="B247" s="72" t="s">
        <v>1089</v>
      </c>
      <c r="C247" s="72" t="s">
        <v>248</v>
      </c>
      <c r="D247" s="72" t="s">
        <v>577</v>
      </c>
      <c r="E247" s="73" t="s">
        <v>722</v>
      </c>
      <c r="F247" s="72" t="s">
        <v>843</v>
      </c>
      <c r="G247" s="74" t="n">
        <v>196852</v>
      </c>
      <c r="H247" s="75" t="s">
        <v>1090</v>
      </c>
      <c r="I247" s="73" t="s">
        <v>250</v>
      </c>
    </row>
    <row r="248" customFormat="false" ht="15" hidden="false" customHeight="false" outlineLevel="0" collapsed="false">
      <c r="A248" s="72" t="n">
        <v>244</v>
      </c>
      <c r="B248" s="72" t="s">
        <v>1091</v>
      </c>
      <c r="C248" s="72" t="s">
        <v>248</v>
      </c>
      <c r="D248" s="72" t="s">
        <v>577</v>
      </c>
      <c r="E248" s="73" t="s">
        <v>722</v>
      </c>
      <c r="F248" s="72" t="s">
        <v>843</v>
      </c>
      <c r="G248" s="74" t="n">
        <v>387892</v>
      </c>
      <c r="H248" s="75" t="s">
        <v>1092</v>
      </c>
      <c r="I248" s="73" t="s">
        <v>250</v>
      </c>
    </row>
    <row r="249" customFormat="false" ht="15" hidden="false" customHeight="false" outlineLevel="0" collapsed="false">
      <c r="A249" s="72" t="n">
        <v>245</v>
      </c>
      <c r="B249" s="72" t="s">
        <v>1093</v>
      </c>
      <c r="C249" s="72" t="s">
        <v>248</v>
      </c>
      <c r="D249" s="72" t="s">
        <v>577</v>
      </c>
      <c r="E249" s="73" t="s">
        <v>722</v>
      </c>
      <c r="F249" s="72" t="s">
        <v>843</v>
      </c>
      <c r="G249" s="74" t="n">
        <v>214064</v>
      </c>
      <c r="H249" s="75" t="s">
        <v>1094</v>
      </c>
      <c r="I249" s="73" t="s">
        <v>250</v>
      </c>
    </row>
    <row r="250" customFormat="false" ht="15" hidden="false" customHeight="false" outlineLevel="0" collapsed="false">
      <c r="A250" s="72" t="n">
        <v>246</v>
      </c>
      <c r="B250" s="72" t="s">
        <v>1095</v>
      </c>
      <c r="C250" s="72" t="s">
        <v>248</v>
      </c>
      <c r="D250" s="72" t="s">
        <v>577</v>
      </c>
      <c r="E250" s="73" t="s">
        <v>722</v>
      </c>
      <c r="F250" s="72" t="s">
        <v>843</v>
      </c>
      <c r="G250" s="74" t="n">
        <v>221096</v>
      </c>
      <c r="H250" s="75" t="s">
        <v>1096</v>
      </c>
      <c r="I250" s="73" t="s">
        <v>250</v>
      </c>
    </row>
    <row r="251" customFormat="false" ht="15" hidden="false" customHeight="false" outlineLevel="0" collapsed="false">
      <c r="A251" s="72" t="n">
        <v>247</v>
      </c>
      <c r="B251" s="72" t="s">
        <v>1097</v>
      </c>
      <c r="C251" s="72" t="s">
        <v>248</v>
      </c>
      <c r="D251" s="72" t="s">
        <v>577</v>
      </c>
      <c r="E251" s="73" t="s">
        <v>722</v>
      </c>
      <c r="F251" s="72" t="s">
        <v>843</v>
      </c>
      <c r="G251" s="74" t="n">
        <v>330160</v>
      </c>
      <c r="H251" s="75" t="s">
        <v>1098</v>
      </c>
      <c r="I251" s="73" t="s">
        <v>250</v>
      </c>
    </row>
    <row r="252" customFormat="false" ht="15" hidden="false" customHeight="false" outlineLevel="0" collapsed="false">
      <c r="A252" s="72" t="n">
        <v>248</v>
      </c>
      <c r="B252" s="72" t="s">
        <v>1099</v>
      </c>
      <c r="C252" s="72" t="s">
        <v>248</v>
      </c>
      <c r="D252" s="72" t="s">
        <v>577</v>
      </c>
      <c r="E252" s="73" t="s">
        <v>722</v>
      </c>
      <c r="F252" s="72" t="s">
        <v>843</v>
      </c>
      <c r="G252" s="74" t="n">
        <v>238090</v>
      </c>
      <c r="H252" s="75" t="s">
        <v>1100</v>
      </c>
      <c r="I252" s="73" t="s">
        <v>250</v>
      </c>
    </row>
    <row r="253" customFormat="false" ht="15" hidden="false" customHeight="false" outlineLevel="0" collapsed="false">
      <c r="A253" s="72" t="n">
        <v>249</v>
      </c>
      <c r="B253" s="72" t="s">
        <v>1101</v>
      </c>
      <c r="C253" s="72" t="s">
        <v>248</v>
      </c>
      <c r="D253" s="72" t="s">
        <v>577</v>
      </c>
      <c r="E253" s="73" t="s">
        <v>722</v>
      </c>
      <c r="F253" s="72" t="s">
        <v>843</v>
      </c>
      <c r="G253" s="74" t="n">
        <v>198734</v>
      </c>
      <c r="H253" s="75" t="s">
        <v>1102</v>
      </c>
      <c r="I253" s="73" t="s">
        <v>250</v>
      </c>
    </row>
    <row r="254" customFormat="false" ht="15" hidden="false" customHeight="false" outlineLevel="0" collapsed="false">
      <c r="A254" s="72" t="n">
        <v>250</v>
      </c>
      <c r="B254" s="72" t="s">
        <v>1103</v>
      </c>
      <c r="C254" s="72" t="s">
        <v>248</v>
      </c>
      <c r="D254" s="72" t="s">
        <v>577</v>
      </c>
      <c r="E254" s="73" t="s">
        <v>722</v>
      </c>
      <c r="F254" s="72" t="s">
        <v>843</v>
      </c>
      <c r="G254" s="74" t="n">
        <v>269356</v>
      </c>
      <c r="H254" s="75" t="s">
        <v>1104</v>
      </c>
      <c r="I254" s="73" t="s">
        <v>250</v>
      </c>
    </row>
    <row r="255" customFormat="false" ht="15" hidden="false" customHeight="false" outlineLevel="0" collapsed="false">
      <c r="A255" s="72" t="n">
        <v>251</v>
      </c>
      <c r="B255" s="72" t="s">
        <v>1105</v>
      </c>
      <c r="C255" s="72" t="s">
        <v>248</v>
      </c>
      <c r="D255" s="72" t="s">
        <v>577</v>
      </c>
      <c r="E255" s="73" t="s">
        <v>722</v>
      </c>
      <c r="F255" s="72" t="s">
        <v>843</v>
      </c>
      <c r="G255" s="74" t="n">
        <v>483902</v>
      </c>
      <c r="H255" s="75" t="s">
        <v>1106</v>
      </c>
      <c r="I255" s="73" t="s">
        <v>250</v>
      </c>
    </row>
    <row r="256" customFormat="false" ht="15" hidden="false" customHeight="false" outlineLevel="0" collapsed="false">
      <c r="A256" s="72" t="n">
        <v>252</v>
      </c>
      <c r="B256" s="72" t="s">
        <v>1107</v>
      </c>
      <c r="C256" s="72" t="s">
        <v>248</v>
      </c>
      <c r="D256" s="72" t="s">
        <v>577</v>
      </c>
      <c r="E256" s="73" t="s">
        <v>722</v>
      </c>
      <c r="F256" s="72" t="s">
        <v>843</v>
      </c>
      <c r="G256" s="74" t="n">
        <v>320662</v>
      </c>
      <c r="H256" s="75" t="s">
        <v>1108</v>
      </c>
      <c r="I256" s="73" t="s">
        <v>250</v>
      </c>
    </row>
    <row r="257" customFormat="false" ht="15" hidden="false" customHeight="false" outlineLevel="0" collapsed="false">
      <c r="A257" s="72" t="n">
        <v>253</v>
      </c>
      <c r="B257" s="72" t="s">
        <v>1109</v>
      </c>
      <c r="C257" s="72" t="s">
        <v>248</v>
      </c>
      <c r="D257" s="72" t="s">
        <v>577</v>
      </c>
      <c r="E257" s="73" t="s">
        <v>722</v>
      </c>
      <c r="F257" s="72" t="s">
        <v>843</v>
      </c>
      <c r="G257" s="74" t="n">
        <v>537348</v>
      </c>
      <c r="H257" s="75" t="s">
        <v>1110</v>
      </c>
      <c r="I257" s="73" t="s">
        <v>250</v>
      </c>
    </row>
    <row r="258" customFormat="false" ht="15" hidden="false" customHeight="false" outlineLevel="0" collapsed="false">
      <c r="A258" s="72" t="n">
        <v>254</v>
      </c>
      <c r="B258" s="72" t="s">
        <v>1111</v>
      </c>
      <c r="C258" s="72" t="s">
        <v>248</v>
      </c>
      <c r="D258" s="72" t="s">
        <v>577</v>
      </c>
      <c r="E258" s="73" t="s">
        <v>1112</v>
      </c>
      <c r="F258" s="72" t="s">
        <v>1113</v>
      </c>
      <c r="G258" s="74" t="n">
        <v>919</v>
      </c>
      <c r="H258" s="75" t="s">
        <v>1114</v>
      </c>
      <c r="I258" s="73" t="s">
        <v>250</v>
      </c>
    </row>
    <row r="259" customFormat="false" ht="15" hidden="false" customHeight="false" outlineLevel="0" collapsed="false">
      <c r="A259" s="72" t="n">
        <v>255</v>
      </c>
      <c r="B259" s="72" t="s">
        <v>1115</v>
      </c>
      <c r="C259" s="72" t="s">
        <v>248</v>
      </c>
      <c r="D259" s="72" t="s">
        <v>577</v>
      </c>
      <c r="E259" s="72" t="s">
        <v>1116</v>
      </c>
      <c r="F259" s="72" t="s">
        <v>1117</v>
      </c>
      <c r="G259" s="74" t="n">
        <v>875084</v>
      </c>
      <c r="H259" s="75" t="s">
        <v>1118</v>
      </c>
      <c r="I259" s="73" t="s">
        <v>250</v>
      </c>
    </row>
    <row r="260" customFormat="false" ht="15" hidden="false" customHeight="false" outlineLevel="0" collapsed="false">
      <c r="A260" s="72" t="n">
        <v>256</v>
      </c>
      <c r="B260" s="72" t="s">
        <v>1119</v>
      </c>
      <c r="C260" s="72" t="s">
        <v>248</v>
      </c>
      <c r="D260" s="72" t="s">
        <v>577</v>
      </c>
      <c r="E260" s="73" t="s">
        <v>254</v>
      </c>
      <c r="F260" s="72" t="s">
        <v>583</v>
      </c>
      <c r="G260" s="74" t="n">
        <v>1584</v>
      </c>
      <c r="H260" s="75" t="s">
        <v>1120</v>
      </c>
      <c r="I260" s="73" t="s">
        <v>250</v>
      </c>
    </row>
    <row r="261" customFormat="false" ht="15" hidden="false" customHeight="false" outlineLevel="0" collapsed="false">
      <c r="A261" s="72" t="n">
        <v>257</v>
      </c>
      <c r="B261" s="72" t="s">
        <v>1121</v>
      </c>
      <c r="C261" s="72" t="s">
        <v>248</v>
      </c>
      <c r="D261" s="72" t="s">
        <v>577</v>
      </c>
      <c r="E261" s="73" t="s">
        <v>722</v>
      </c>
      <c r="F261" s="72" t="s">
        <v>843</v>
      </c>
      <c r="G261" s="74" t="n">
        <v>81976</v>
      </c>
      <c r="H261" s="75" t="s">
        <v>1122</v>
      </c>
      <c r="I261" s="73" t="s">
        <v>250</v>
      </c>
    </row>
    <row r="262" customFormat="false" ht="15" hidden="false" customHeight="false" outlineLevel="0" collapsed="false">
      <c r="A262" s="72" t="n">
        <v>258</v>
      </c>
      <c r="B262" s="72" t="s">
        <v>1123</v>
      </c>
      <c r="C262" s="72" t="s">
        <v>248</v>
      </c>
      <c r="D262" s="72" t="s">
        <v>577</v>
      </c>
      <c r="E262" s="73" t="s">
        <v>722</v>
      </c>
      <c r="F262" s="72" t="s">
        <v>843</v>
      </c>
      <c r="G262" s="74" t="n">
        <v>227354</v>
      </c>
      <c r="H262" s="75" t="s">
        <v>1124</v>
      </c>
      <c r="I262" s="73" t="s">
        <v>250</v>
      </c>
    </row>
    <row r="263" customFormat="false" ht="15" hidden="false" customHeight="false" outlineLevel="0" collapsed="false">
      <c r="A263" s="72" t="n">
        <v>259</v>
      </c>
      <c r="B263" s="72" t="s">
        <v>1125</v>
      </c>
      <c r="C263" s="72" t="s">
        <v>248</v>
      </c>
      <c r="D263" s="72" t="s">
        <v>577</v>
      </c>
      <c r="E263" s="73" t="s">
        <v>722</v>
      </c>
      <c r="F263" s="72" t="s">
        <v>843</v>
      </c>
      <c r="G263" s="74" t="n">
        <v>81382</v>
      </c>
      <c r="H263" s="75" t="s">
        <v>1126</v>
      </c>
      <c r="I263" s="73" t="s">
        <v>250</v>
      </c>
    </row>
    <row r="264" customFormat="false" ht="15" hidden="false" customHeight="false" outlineLevel="0" collapsed="false">
      <c r="A264" s="72" t="n">
        <v>260</v>
      </c>
      <c r="B264" s="72" t="s">
        <v>1127</v>
      </c>
      <c r="C264" s="72" t="s">
        <v>248</v>
      </c>
      <c r="D264" s="72" t="s">
        <v>577</v>
      </c>
      <c r="E264" s="73" t="s">
        <v>906</v>
      </c>
      <c r="F264" s="72" t="s">
        <v>907</v>
      </c>
      <c r="G264" s="74" t="n">
        <v>7681737</v>
      </c>
      <c r="H264" s="75" t="s">
        <v>1128</v>
      </c>
      <c r="I264" s="73" t="s">
        <v>250</v>
      </c>
    </row>
    <row r="265" customFormat="false" ht="15" hidden="false" customHeight="false" outlineLevel="0" collapsed="false">
      <c r="A265" s="72" t="n">
        <v>261</v>
      </c>
      <c r="B265" s="72" t="s">
        <v>1129</v>
      </c>
      <c r="C265" s="72" t="s">
        <v>248</v>
      </c>
      <c r="D265" s="72" t="s">
        <v>577</v>
      </c>
      <c r="E265" s="73" t="s">
        <v>906</v>
      </c>
      <c r="F265" s="72" t="s">
        <v>907</v>
      </c>
      <c r="G265" s="74" t="n">
        <v>6878015</v>
      </c>
      <c r="H265" s="75" t="s">
        <v>1130</v>
      </c>
      <c r="I265" s="73" t="s">
        <v>250</v>
      </c>
    </row>
    <row r="266" customFormat="false" ht="15" hidden="false" customHeight="false" outlineLevel="0" collapsed="false">
      <c r="A266" s="72" t="n">
        <v>262</v>
      </c>
      <c r="B266" s="72" t="s">
        <v>1131</v>
      </c>
      <c r="C266" s="72" t="s">
        <v>248</v>
      </c>
      <c r="D266" s="72" t="s">
        <v>577</v>
      </c>
      <c r="E266" s="73" t="s">
        <v>906</v>
      </c>
      <c r="F266" s="72" t="s">
        <v>907</v>
      </c>
      <c r="G266" s="74" t="n">
        <v>6405173</v>
      </c>
      <c r="H266" s="75" t="s">
        <v>1132</v>
      </c>
      <c r="I266" s="73" t="s">
        <v>250</v>
      </c>
    </row>
    <row r="267" customFormat="false" ht="15" hidden="false" customHeight="false" outlineLevel="0" collapsed="false">
      <c r="A267" s="72" t="n">
        <v>263</v>
      </c>
      <c r="B267" s="72" t="s">
        <v>1133</v>
      </c>
      <c r="C267" s="72" t="s">
        <v>248</v>
      </c>
      <c r="D267" s="72" t="s">
        <v>577</v>
      </c>
      <c r="E267" s="73" t="s">
        <v>906</v>
      </c>
      <c r="F267" s="72" t="s">
        <v>907</v>
      </c>
      <c r="G267" s="74" t="n">
        <v>6241369</v>
      </c>
      <c r="H267" s="75" t="s">
        <v>1134</v>
      </c>
      <c r="I267" s="73" t="s">
        <v>250</v>
      </c>
    </row>
    <row r="268" customFormat="false" ht="15" hidden="false" customHeight="false" outlineLevel="0" collapsed="false">
      <c r="A268" s="72" t="n">
        <v>264</v>
      </c>
      <c r="B268" s="72" t="s">
        <v>1135</v>
      </c>
      <c r="C268" s="72" t="s">
        <v>248</v>
      </c>
      <c r="D268" s="72" t="s">
        <v>577</v>
      </c>
      <c r="E268" s="73" t="s">
        <v>906</v>
      </c>
      <c r="F268" s="72" t="s">
        <v>907</v>
      </c>
      <c r="G268" s="74" t="n">
        <v>5586644</v>
      </c>
      <c r="H268" s="75" t="s">
        <v>1136</v>
      </c>
      <c r="I268" s="73" t="s">
        <v>250</v>
      </c>
    </row>
    <row r="269" customFormat="false" ht="15" hidden="false" customHeight="false" outlineLevel="0" collapsed="false">
      <c r="A269" s="72" t="n">
        <v>265</v>
      </c>
      <c r="B269" s="72" t="s">
        <v>1137</v>
      </c>
      <c r="C269" s="72" t="s">
        <v>248</v>
      </c>
      <c r="D269" s="72" t="s">
        <v>577</v>
      </c>
      <c r="E269" s="73" t="s">
        <v>906</v>
      </c>
      <c r="F269" s="72" t="s">
        <v>907</v>
      </c>
      <c r="G269" s="74" t="n">
        <v>4862034</v>
      </c>
      <c r="H269" s="75" t="s">
        <v>1138</v>
      </c>
      <c r="I269" s="73" t="s">
        <v>250</v>
      </c>
    </row>
    <row r="270" customFormat="false" ht="15" hidden="false" customHeight="false" outlineLevel="0" collapsed="false">
      <c r="A270" s="72" t="n">
        <v>266</v>
      </c>
      <c r="B270" s="72" t="s">
        <v>1139</v>
      </c>
      <c r="C270" s="72" t="s">
        <v>248</v>
      </c>
      <c r="D270" s="72" t="s">
        <v>577</v>
      </c>
      <c r="E270" s="73" t="s">
        <v>906</v>
      </c>
      <c r="F270" s="72" t="s">
        <v>907</v>
      </c>
      <c r="G270" s="74" t="n">
        <v>6550985</v>
      </c>
      <c r="H270" s="75" t="s">
        <v>1140</v>
      </c>
      <c r="I270" s="73" t="s">
        <v>250</v>
      </c>
    </row>
    <row r="271" customFormat="false" ht="15" hidden="false" customHeight="false" outlineLevel="0" collapsed="false">
      <c r="A271" s="72" t="n">
        <v>267</v>
      </c>
      <c r="B271" s="72" t="s">
        <v>1141</v>
      </c>
      <c r="C271" s="72" t="s">
        <v>248</v>
      </c>
      <c r="D271" s="72" t="s">
        <v>577</v>
      </c>
      <c r="E271" s="73" t="s">
        <v>906</v>
      </c>
      <c r="F271" s="72" t="s">
        <v>907</v>
      </c>
      <c r="G271" s="74" t="n">
        <v>5323085</v>
      </c>
      <c r="H271" s="75" t="s">
        <v>1142</v>
      </c>
      <c r="I271" s="73" t="s">
        <v>250</v>
      </c>
    </row>
    <row r="272" customFormat="false" ht="15" hidden="false" customHeight="false" outlineLevel="0" collapsed="false">
      <c r="A272" s="72" t="n">
        <v>268</v>
      </c>
      <c r="B272" s="72" t="s">
        <v>1143</v>
      </c>
      <c r="C272" s="72" t="s">
        <v>248</v>
      </c>
      <c r="D272" s="72" t="s">
        <v>577</v>
      </c>
      <c r="E272" s="73" t="s">
        <v>906</v>
      </c>
      <c r="F272" s="72" t="s">
        <v>907</v>
      </c>
      <c r="G272" s="74" t="n">
        <v>6579383</v>
      </c>
      <c r="H272" s="75" t="s">
        <v>1144</v>
      </c>
      <c r="I272" s="73" t="s">
        <v>250</v>
      </c>
    </row>
    <row r="273" customFormat="false" ht="15" hidden="false" customHeight="false" outlineLevel="0" collapsed="false">
      <c r="A273" s="72" t="n">
        <v>269</v>
      </c>
      <c r="B273" s="72" t="s">
        <v>1145</v>
      </c>
      <c r="C273" s="72" t="s">
        <v>248</v>
      </c>
      <c r="D273" s="72" t="s">
        <v>577</v>
      </c>
      <c r="E273" s="73" t="s">
        <v>722</v>
      </c>
      <c r="F273" s="72" t="s">
        <v>843</v>
      </c>
      <c r="G273" s="74" t="n">
        <v>9720</v>
      </c>
      <c r="H273" s="75" t="s">
        <v>1146</v>
      </c>
      <c r="I273" s="73" t="s">
        <v>250</v>
      </c>
    </row>
    <row r="274" customFormat="false" ht="15" hidden="false" customHeight="false" outlineLevel="0" collapsed="false">
      <c r="A274" s="72" t="n">
        <v>270</v>
      </c>
      <c r="B274" s="72" t="s">
        <v>1147</v>
      </c>
      <c r="C274" s="72" t="s">
        <v>248</v>
      </c>
      <c r="D274" s="72" t="s">
        <v>577</v>
      </c>
      <c r="E274" s="73" t="s">
        <v>722</v>
      </c>
      <c r="F274" s="72" t="s">
        <v>843</v>
      </c>
      <c r="G274" s="74" t="n">
        <v>12348</v>
      </c>
      <c r="H274" s="75" t="s">
        <v>1148</v>
      </c>
      <c r="I274" s="73" t="s">
        <v>250</v>
      </c>
    </row>
    <row r="275" customFormat="false" ht="15" hidden="false" customHeight="false" outlineLevel="0" collapsed="false">
      <c r="A275" s="72" t="n">
        <v>271</v>
      </c>
      <c r="B275" s="72" t="s">
        <v>1149</v>
      </c>
      <c r="C275" s="72" t="s">
        <v>248</v>
      </c>
      <c r="D275" s="72" t="s">
        <v>577</v>
      </c>
      <c r="E275" s="73" t="s">
        <v>722</v>
      </c>
      <c r="F275" s="72" t="s">
        <v>843</v>
      </c>
      <c r="G275" s="74" t="n">
        <v>6638</v>
      </c>
      <c r="H275" s="75" t="s">
        <v>1150</v>
      </c>
      <c r="I275" s="73" t="s">
        <v>250</v>
      </c>
    </row>
    <row r="276" customFormat="false" ht="15" hidden="false" customHeight="false" outlineLevel="0" collapsed="false">
      <c r="A276" s="72" t="n">
        <v>272</v>
      </c>
      <c r="B276" s="72" t="s">
        <v>1151</v>
      </c>
      <c r="C276" s="72" t="s">
        <v>248</v>
      </c>
      <c r="D276" s="72" t="s">
        <v>577</v>
      </c>
      <c r="E276" s="73" t="s">
        <v>722</v>
      </c>
      <c r="F276" s="72" t="s">
        <v>843</v>
      </c>
      <c r="G276" s="74" t="n">
        <v>7778</v>
      </c>
      <c r="H276" s="75" t="s">
        <v>1152</v>
      </c>
      <c r="I276" s="73" t="s">
        <v>250</v>
      </c>
    </row>
    <row r="277" customFormat="false" ht="15" hidden="false" customHeight="false" outlineLevel="0" collapsed="false">
      <c r="A277" s="72" t="n">
        <v>273</v>
      </c>
      <c r="B277" s="72" t="s">
        <v>1153</v>
      </c>
      <c r="C277" s="72" t="s">
        <v>248</v>
      </c>
      <c r="D277" s="72" t="s">
        <v>577</v>
      </c>
      <c r="E277" s="73" t="s">
        <v>722</v>
      </c>
      <c r="F277" s="72" t="s">
        <v>843</v>
      </c>
      <c r="G277" s="74" t="n">
        <v>7670</v>
      </c>
      <c r="H277" s="75" t="s">
        <v>1154</v>
      </c>
      <c r="I277" s="73" t="s">
        <v>250</v>
      </c>
    </row>
    <row r="278" customFormat="false" ht="15" hidden="false" customHeight="false" outlineLevel="0" collapsed="false">
      <c r="A278" s="72" t="n">
        <v>274</v>
      </c>
      <c r="B278" s="72" t="s">
        <v>1155</v>
      </c>
      <c r="C278" s="72" t="s">
        <v>248</v>
      </c>
      <c r="D278" s="72" t="s">
        <v>577</v>
      </c>
      <c r="E278" s="73" t="s">
        <v>722</v>
      </c>
      <c r="F278" s="72" t="s">
        <v>843</v>
      </c>
      <c r="G278" s="74" t="n">
        <v>88726</v>
      </c>
      <c r="H278" s="75" t="s">
        <v>1156</v>
      </c>
      <c r="I278" s="73" t="s">
        <v>250</v>
      </c>
    </row>
    <row r="279" customFormat="false" ht="15" hidden="false" customHeight="false" outlineLevel="0" collapsed="false">
      <c r="A279" s="72" t="n">
        <v>275</v>
      </c>
      <c r="B279" s="72" t="s">
        <v>1157</v>
      </c>
      <c r="C279" s="72" t="s">
        <v>248</v>
      </c>
      <c r="D279" s="72" t="s">
        <v>577</v>
      </c>
      <c r="E279" s="73" t="s">
        <v>722</v>
      </c>
      <c r="F279" s="72" t="s">
        <v>843</v>
      </c>
      <c r="G279" s="74" t="n">
        <v>10332</v>
      </c>
      <c r="H279" s="75" t="s">
        <v>1158</v>
      </c>
      <c r="I279" s="73" t="s">
        <v>250</v>
      </c>
    </row>
    <row r="280" customFormat="false" ht="15" hidden="false" customHeight="false" outlineLevel="0" collapsed="false">
      <c r="A280" s="72" t="n">
        <v>276</v>
      </c>
      <c r="B280" s="72" t="s">
        <v>1159</v>
      </c>
      <c r="C280" s="72" t="s">
        <v>248</v>
      </c>
      <c r="D280" s="72" t="s">
        <v>577</v>
      </c>
      <c r="E280" s="73" t="s">
        <v>722</v>
      </c>
      <c r="F280" s="72" t="s">
        <v>843</v>
      </c>
      <c r="G280" s="74" t="n">
        <v>22254</v>
      </c>
      <c r="H280" s="75" t="s">
        <v>1160</v>
      </c>
      <c r="I280" s="73" t="s">
        <v>250</v>
      </c>
    </row>
    <row r="281" customFormat="false" ht="15" hidden="false" customHeight="false" outlineLevel="0" collapsed="false">
      <c r="A281" s="72" t="n">
        <v>277</v>
      </c>
      <c r="B281" s="72" t="s">
        <v>1161</v>
      </c>
      <c r="C281" s="72" t="s">
        <v>248</v>
      </c>
      <c r="D281" s="72" t="s">
        <v>577</v>
      </c>
      <c r="E281" s="73" t="s">
        <v>722</v>
      </c>
      <c r="F281" s="72" t="s">
        <v>843</v>
      </c>
      <c r="G281" s="74" t="n">
        <v>156374</v>
      </c>
      <c r="H281" s="75" t="s">
        <v>1162</v>
      </c>
      <c r="I281" s="73" t="s">
        <v>250</v>
      </c>
    </row>
    <row r="282" customFormat="false" ht="15" hidden="false" customHeight="false" outlineLevel="0" collapsed="false">
      <c r="A282" s="72" t="n">
        <v>278</v>
      </c>
      <c r="B282" s="72" t="s">
        <v>1163</v>
      </c>
      <c r="C282" s="72" t="s">
        <v>248</v>
      </c>
      <c r="D282" s="72" t="s">
        <v>577</v>
      </c>
      <c r="E282" s="73" t="s">
        <v>722</v>
      </c>
      <c r="F282" s="72" t="s">
        <v>843</v>
      </c>
      <c r="G282" s="74" t="n">
        <v>168884</v>
      </c>
      <c r="H282" s="75" t="s">
        <v>1164</v>
      </c>
      <c r="I282" s="73" t="s">
        <v>250</v>
      </c>
    </row>
    <row r="283" customFormat="false" ht="15" hidden="false" customHeight="false" outlineLevel="0" collapsed="false">
      <c r="A283" s="72" t="n">
        <v>279</v>
      </c>
      <c r="B283" s="72" t="s">
        <v>1165</v>
      </c>
      <c r="C283" s="72" t="s">
        <v>248</v>
      </c>
      <c r="D283" s="72" t="s">
        <v>577</v>
      </c>
      <c r="E283" s="73" t="s">
        <v>722</v>
      </c>
      <c r="F283" s="72" t="s">
        <v>843</v>
      </c>
      <c r="G283" s="74" t="n">
        <v>159036</v>
      </c>
      <c r="H283" s="75" t="s">
        <v>1166</v>
      </c>
      <c r="I283" s="73" t="s">
        <v>250</v>
      </c>
    </row>
    <row r="284" customFormat="false" ht="15" hidden="false" customHeight="false" outlineLevel="0" collapsed="false">
      <c r="A284" s="72" t="n">
        <v>280</v>
      </c>
      <c r="B284" s="72" t="s">
        <v>1167</v>
      </c>
      <c r="C284" s="72" t="s">
        <v>248</v>
      </c>
      <c r="D284" s="72" t="s">
        <v>577</v>
      </c>
      <c r="E284" s="73" t="s">
        <v>722</v>
      </c>
      <c r="F284" s="72" t="s">
        <v>843</v>
      </c>
      <c r="G284" s="74" t="n">
        <v>378628</v>
      </c>
      <c r="H284" s="75" t="s">
        <v>1168</v>
      </c>
      <c r="I284" s="73" t="s">
        <v>250</v>
      </c>
    </row>
    <row r="285" customFormat="false" ht="15" hidden="false" customHeight="false" outlineLevel="0" collapsed="false">
      <c r="A285" s="72" t="n">
        <v>281</v>
      </c>
      <c r="B285" s="72" t="s">
        <v>1169</v>
      </c>
      <c r="C285" s="72" t="s">
        <v>248</v>
      </c>
      <c r="D285" s="72" t="s">
        <v>577</v>
      </c>
      <c r="E285" s="73" t="s">
        <v>722</v>
      </c>
      <c r="F285" s="72" t="s">
        <v>843</v>
      </c>
      <c r="G285" s="74" t="n">
        <v>119414</v>
      </c>
      <c r="H285" s="75" t="s">
        <v>1170</v>
      </c>
      <c r="I285" s="73" t="s">
        <v>250</v>
      </c>
    </row>
    <row r="286" customFormat="false" ht="15" hidden="false" customHeight="false" outlineLevel="0" collapsed="false">
      <c r="A286" s="72" t="n">
        <v>282</v>
      </c>
      <c r="B286" s="72" t="s">
        <v>1171</v>
      </c>
      <c r="C286" s="72" t="s">
        <v>248</v>
      </c>
      <c r="D286" s="72" t="s">
        <v>577</v>
      </c>
      <c r="E286" s="73" t="s">
        <v>722</v>
      </c>
      <c r="F286" s="72" t="s">
        <v>843</v>
      </c>
      <c r="G286" s="74" t="n">
        <v>42604</v>
      </c>
      <c r="H286" s="75" t="s">
        <v>1172</v>
      </c>
      <c r="I286" s="73" t="s">
        <v>250</v>
      </c>
    </row>
    <row r="287" customFormat="false" ht="15" hidden="false" customHeight="false" outlineLevel="0" collapsed="false">
      <c r="A287" s="72" t="n">
        <v>283</v>
      </c>
      <c r="B287" s="72" t="s">
        <v>1173</v>
      </c>
      <c r="C287" s="72" t="s">
        <v>248</v>
      </c>
      <c r="D287" s="72" t="s">
        <v>577</v>
      </c>
      <c r="E287" s="73" t="s">
        <v>722</v>
      </c>
      <c r="F287" s="72" t="s">
        <v>843</v>
      </c>
      <c r="G287" s="74" t="n">
        <v>32042</v>
      </c>
      <c r="H287" s="75" t="s">
        <v>1174</v>
      </c>
      <c r="I287" s="73" t="s">
        <v>250</v>
      </c>
    </row>
    <row r="288" customFormat="false" ht="15" hidden="false" customHeight="false" outlineLevel="0" collapsed="false">
      <c r="A288" s="72" t="n">
        <v>284</v>
      </c>
      <c r="B288" s="72" t="s">
        <v>1175</v>
      </c>
      <c r="C288" s="72" t="s">
        <v>248</v>
      </c>
      <c r="D288" s="72" t="s">
        <v>577</v>
      </c>
      <c r="E288" s="73" t="s">
        <v>1112</v>
      </c>
      <c r="F288" s="72" t="s">
        <v>1113</v>
      </c>
      <c r="G288" s="74" t="n">
        <v>1247</v>
      </c>
      <c r="H288" s="75" t="s">
        <v>1176</v>
      </c>
      <c r="I288" s="73" t="s">
        <v>250</v>
      </c>
    </row>
    <row r="289" customFormat="false" ht="15" hidden="false" customHeight="false" outlineLevel="0" collapsed="false">
      <c r="A289" s="72" t="n">
        <v>285</v>
      </c>
      <c r="B289" s="72" t="s">
        <v>1177</v>
      </c>
      <c r="C289" s="72" t="s">
        <v>248</v>
      </c>
      <c r="D289" s="72" t="s">
        <v>577</v>
      </c>
      <c r="E289" s="73" t="s">
        <v>1112</v>
      </c>
      <c r="F289" s="72" t="s">
        <v>1113</v>
      </c>
      <c r="G289" s="74" t="n">
        <v>1372</v>
      </c>
      <c r="H289" s="75" t="s">
        <v>1178</v>
      </c>
      <c r="I289" s="73" t="s">
        <v>250</v>
      </c>
    </row>
    <row r="290" customFormat="false" ht="15" hidden="false" customHeight="false" outlineLevel="0" collapsed="false">
      <c r="A290" s="72" t="n">
        <v>286</v>
      </c>
      <c r="B290" s="72" t="s">
        <v>1179</v>
      </c>
      <c r="C290" s="72" t="s">
        <v>248</v>
      </c>
      <c r="D290" s="72" t="s">
        <v>577</v>
      </c>
      <c r="E290" s="73" t="s">
        <v>1112</v>
      </c>
      <c r="F290" s="72" t="s">
        <v>1113</v>
      </c>
      <c r="G290" s="74" t="n">
        <v>1324</v>
      </c>
      <c r="H290" s="75" t="s">
        <v>1180</v>
      </c>
      <c r="I290" s="73" t="s">
        <v>250</v>
      </c>
    </row>
    <row r="291" customFormat="false" ht="15" hidden="false" customHeight="false" outlineLevel="0" collapsed="false">
      <c r="A291" s="72" t="n">
        <v>287</v>
      </c>
      <c r="B291" s="72" t="s">
        <v>1181</v>
      </c>
      <c r="C291" s="72" t="s">
        <v>248</v>
      </c>
      <c r="D291" s="72" t="s">
        <v>577</v>
      </c>
      <c r="E291" s="73" t="s">
        <v>1112</v>
      </c>
      <c r="F291" s="72" t="s">
        <v>1113</v>
      </c>
      <c r="G291" s="74" t="n">
        <v>5350</v>
      </c>
      <c r="H291" s="75" t="s">
        <v>1182</v>
      </c>
      <c r="I291" s="73" t="s">
        <v>250</v>
      </c>
    </row>
    <row r="292" customFormat="false" ht="15" hidden="false" customHeight="false" outlineLevel="0" collapsed="false">
      <c r="A292" s="72" t="n">
        <v>288</v>
      </c>
      <c r="B292" s="72" t="s">
        <v>1183</v>
      </c>
      <c r="C292" s="72" t="s">
        <v>256</v>
      </c>
      <c r="D292" s="73" t="s">
        <v>1184</v>
      </c>
      <c r="E292" s="73" t="s">
        <v>254</v>
      </c>
      <c r="F292" s="72" t="s">
        <v>583</v>
      </c>
      <c r="G292" s="74" t="n">
        <v>286581</v>
      </c>
      <c r="H292" s="75" t="s">
        <v>1185</v>
      </c>
      <c r="I292" s="73" t="s">
        <v>254</v>
      </c>
    </row>
    <row r="293" customFormat="false" ht="15" hidden="false" customHeight="false" outlineLevel="0" collapsed="false">
      <c r="A293" s="72" t="n">
        <v>289</v>
      </c>
      <c r="B293" s="72" t="s">
        <v>1186</v>
      </c>
      <c r="C293" s="72" t="s">
        <v>256</v>
      </c>
      <c r="D293" s="73" t="s">
        <v>1184</v>
      </c>
      <c r="E293" s="73" t="s">
        <v>254</v>
      </c>
      <c r="F293" s="72" t="s">
        <v>583</v>
      </c>
      <c r="G293" s="74" t="n">
        <v>36682</v>
      </c>
      <c r="H293" s="75" t="s">
        <v>1187</v>
      </c>
      <c r="I293" s="73" t="s">
        <v>254</v>
      </c>
    </row>
    <row r="294" customFormat="false" ht="15" hidden="false" customHeight="false" outlineLevel="0" collapsed="false">
      <c r="A294" s="72" t="n">
        <v>290</v>
      </c>
      <c r="B294" s="72" t="s">
        <v>1188</v>
      </c>
      <c r="C294" s="72" t="s">
        <v>259</v>
      </c>
      <c r="D294" s="73" t="s">
        <v>582</v>
      </c>
      <c r="E294" s="73" t="s">
        <v>254</v>
      </c>
      <c r="F294" s="72" t="s">
        <v>583</v>
      </c>
      <c r="G294" s="74" t="n">
        <v>2972</v>
      </c>
      <c r="H294" s="75" t="s">
        <v>1189</v>
      </c>
      <c r="I294" s="73" t="s">
        <v>254</v>
      </c>
    </row>
    <row r="295" customFormat="false" ht="15" hidden="false" customHeight="false" outlineLevel="0" collapsed="false">
      <c r="A295" s="72" t="n">
        <v>291</v>
      </c>
      <c r="B295" s="72" t="s">
        <v>1190</v>
      </c>
      <c r="C295" s="72" t="s">
        <v>259</v>
      </c>
      <c r="D295" s="73" t="s">
        <v>582</v>
      </c>
      <c r="E295" s="73" t="s">
        <v>254</v>
      </c>
      <c r="F295" s="72" t="s">
        <v>583</v>
      </c>
      <c r="G295" s="74" t="n">
        <v>14803</v>
      </c>
      <c r="H295" s="75" t="s">
        <v>1191</v>
      </c>
      <c r="I295" s="73" t="s">
        <v>254</v>
      </c>
    </row>
    <row r="296" customFormat="false" ht="15" hidden="false" customHeight="false" outlineLevel="0" collapsed="false">
      <c r="A296" s="72" t="n">
        <v>292</v>
      </c>
      <c r="B296" s="72" t="s">
        <v>1192</v>
      </c>
      <c r="C296" s="72" t="s">
        <v>259</v>
      </c>
      <c r="D296" s="73" t="s">
        <v>582</v>
      </c>
      <c r="E296" s="73" t="s">
        <v>254</v>
      </c>
      <c r="F296" s="72" t="s">
        <v>583</v>
      </c>
      <c r="G296" s="74" t="n">
        <v>6455</v>
      </c>
      <c r="H296" s="75" t="s">
        <v>1193</v>
      </c>
      <c r="I296" s="73" t="s">
        <v>254</v>
      </c>
    </row>
    <row r="297" customFormat="false" ht="15" hidden="false" customHeight="false" outlineLevel="0" collapsed="false">
      <c r="A297" s="72" t="n">
        <v>293</v>
      </c>
      <c r="B297" s="72" t="s">
        <v>1194</v>
      </c>
      <c r="C297" s="72" t="s">
        <v>259</v>
      </c>
      <c r="D297" s="73" t="s">
        <v>582</v>
      </c>
      <c r="E297" s="73" t="s">
        <v>254</v>
      </c>
      <c r="F297" s="72" t="s">
        <v>583</v>
      </c>
      <c r="G297" s="74" t="n">
        <v>6482</v>
      </c>
      <c r="H297" s="75" t="s">
        <v>1195</v>
      </c>
      <c r="I297" s="73" t="s">
        <v>254</v>
      </c>
    </row>
    <row r="298" customFormat="false" ht="15" hidden="false" customHeight="false" outlineLevel="0" collapsed="false">
      <c r="A298" s="72" t="n">
        <v>294</v>
      </c>
      <c r="B298" s="72" t="s">
        <v>1196</v>
      </c>
      <c r="C298" s="72" t="s">
        <v>259</v>
      </c>
      <c r="D298" s="73" t="s">
        <v>582</v>
      </c>
      <c r="E298" s="73" t="s">
        <v>254</v>
      </c>
      <c r="F298" s="72" t="s">
        <v>583</v>
      </c>
      <c r="G298" s="74" t="n">
        <v>18177</v>
      </c>
      <c r="H298" s="75" t="s">
        <v>1197</v>
      </c>
      <c r="I298" s="73" t="s">
        <v>254</v>
      </c>
    </row>
    <row r="299" customFormat="false" ht="15" hidden="false" customHeight="false" outlineLevel="0" collapsed="false">
      <c r="A299" s="72" t="n">
        <v>295</v>
      </c>
      <c r="B299" s="72" t="s">
        <v>1198</v>
      </c>
      <c r="C299" s="72" t="s">
        <v>259</v>
      </c>
      <c r="D299" s="73" t="s">
        <v>582</v>
      </c>
      <c r="E299" s="73" t="s">
        <v>254</v>
      </c>
      <c r="F299" s="72" t="s">
        <v>583</v>
      </c>
      <c r="G299" s="74" t="n">
        <v>23541</v>
      </c>
      <c r="H299" s="75" t="s">
        <v>1199</v>
      </c>
      <c r="I299" s="73" t="s">
        <v>254</v>
      </c>
    </row>
    <row r="300" customFormat="false" ht="15" hidden="false" customHeight="false" outlineLevel="0" collapsed="false">
      <c r="A300" s="72" t="n">
        <v>296</v>
      </c>
      <c r="B300" s="72" t="s">
        <v>1200</v>
      </c>
      <c r="C300" s="72" t="s">
        <v>259</v>
      </c>
      <c r="D300" s="73" t="s">
        <v>582</v>
      </c>
      <c r="E300" s="73" t="s">
        <v>254</v>
      </c>
      <c r="F300" s="72" t="s">
        <v>583</v>
      </c>
      <c r="G300" s="74" t="n">
        <v>2997</v>
      </c>
      <c r="H300" s="75" t="s">
        <v>1201</v>
      </c>
      <c r="I300" s="73" t="s">
        <v>254</v>
      </c>
    </row>
    <row r="301" customFormat="false" ht="15" hidden="false" customHeight="false" outlineLevel="0" collapsed="false">
      <c r="A301" s="72" t="n">
        <v>297</v>
      </c>
      <c r="B301" s="72" t="s">
        <v>1202</v>
      </c>
      <c r="C301" s="72" t="s">
        <v>259</v>
      </c>
      <c r="D301" s="73" t="s">
        <v>582</v>
      </c>
      <c r="E301" s="73" t="s">
        <v>254</v>
      </c>
      <c r="F301" s="72" t="s">
        <v>583</v>
      </c>
      <c r="G301" s="74" t="n">
        <v>7533</v>
      </c>
      <c r="H301" s="75" t="s">
        <v>1203</v>
      </c>
      <c r="I301" s="73" t="s">
        <v>254</v>
      </c>
    </row>
    <row r="302" customFormat="false" ht="15" hidden="false" customHeight="false" outlineLevel="0" collapsed="false">
      <c r="A302" s="72" t="n">
        <v>298</v>
      </c>
      <c r="B302" s="72" t="s">
        <v>1204</v>
      </c>
      <c r="C302" s="72" t="s">
        <v>259</v>
      </c>
      <c r="D302" s="73" t="s">
        <v>582</v>
      </c>
      <c r="E302" s="73" t="s">
        <v>254</v>
      </c>
      <c r="F302" s="72" t="s">
        <v>583</v>
      </c>
      <c r="G302" s="74" t="n">
        <v>8203</v>
      </c>
      <c r="H302" s="75" t="s">
        <v>1205</v>
      </c>
      <c r="I302" s="73" t="s">
        <v>254</v>
      </c>
    </row>
    <row r="303" customFormat="false" ht="15" hidden="false" customHeight="false" outlineLevel="0" collapsed="false">
      <c r="A303" s="72" t="n">
        <v>299</v>
      </c>
      <c r="B303" s="72" t="s">
        <v>1206</v>
      </c>
      <c r="C303" s="72" t="s">
        <v>259</v>
      </c>
      <c r="D303" s="73" t="s">
        <v>582</v>
      </c>
      <c r="E303" s="73" t="s">
        <v>254</v>
      </c>
      <c r="F303" s="72" t="s">
        <v>583</v>
      </c>
      <c r="G303" s="74" t="n">
        <v>18903</v>
      </c>
      <c r="H303" s="75" t="s">
        <v>1207</v>
      </c>
      <c r="I303" s="73" t="s">
        <v>254</v>
      </c>
    </row>
    <row r="304" customFormat="false" ht="15" hidden="false" customHeight="false" outlineLevel="0" collapsed="false">
      <c r="A304" s="72" t="n">
        <v>300</v>
      </c>
      <c r="B304" s="72" t="s">
        <v>1208</v>
      </c>
      <c r="C304" s="72" t="s">
        <v>259</v>
      </c>
      <c r="D304" s="73" t="s">
        <v>582</v>
      </c>
      <c r="E304" s="73" t="s">
        <v>254</v>
      </c>
      <c r="F304" s="72" t="s">
        <v>583</v>
      </c>
      <c r="G304" s="74" t="n">
        <v>8538</v>
      </c>
      <c r="H304" s="75" t="s">
        <v>1209</v>
      </c>
      <c r="I304" s="73" t="s">
        <v>254</v>
      </c>
    </row>
    <row r="305" customFormat="false" ht="15" hidden="false" customHeight="false" outlineLevel="0" collapsed="false">
      <c r="A305" s="72" t="n">
        <v>301</v>
      </c>
      <c r="B305" s="72" t="s">
        <v>1210</v>
      </c>
      <c r="C305" s="72" t="s">
        <v>259</v>
      </c>
      <c r="D305" s="73" t="s">
        <v>582</v>
      </c>
      <c r="E305" s="73" t="s">
        <v>254</v>
      </c>
      <c r="F305" s="72" t="s">
        <v>583</v>
      </c>
      <c r="G305" s="74" t="n">
        <v>23569</v>
      </c>
      <c r="H305" s="75" t="s">
        <v>1211</v>
      </c>
      <c r="I305" s="73" t="s">
        <v>254</v>
      </c>
    </row>
    <row r="306" customFormat="false" ht="15" hidden="false" customHeight="false" outlineLevel="0" collapsed="false">
      <c r="A306" s="72" t="n">
        <v>302</v>
      </c>
      <c r="B306" s="72" t="s">
        <v>1212</v>
      </c>
      <c r="C306" s="72" t="s">
        <v>259</v>
      </c>
      <c r="D306" s="73" t="s">
        <v>582</v>
      </c>
      <c r="E306" s="73" t="s">
        <v>254</v>
      </c>
      <c r="F306" s="72" t="s">
        <v>583</v>
      </c>
      <c r="G306" s="74" t="n">
        <v>2853</v>
      </c>
      <c r="H306" s="75" t="s">
        <v>1213</v>
      </c>
      <c r="I306" s="73" t="s">
        <v>254</v>
      </c>
    </row>
    <row r="307" customFormat="false" ht="15" hidden="false" customHeight="false" outlineLevel="0" collapsed="false">
      <c r="A307" s="72" t="n">
        <v>303</v>
      </c>
      <c r="B307" s="72" t="s">
        <v>1214</v>
      </c>
      <c r="C307" s="72" t="s">
        <v>259</v>
      </c>
      <c r="D307" s="73" t="s">
        <v>582</v>
      </c>
      <c r="E307" s="73" t="s">
        <v>254</v>
      </c>
      <c r="F307" s="72" t="s">
        <v>583</v>
      </c>
      <c r="G307" s="74" t="n">
        <v>35962</v>
      </c>
      <c r="H307" s="75" t="s">
        <v>1215</v>
      </c>
      <c r="I307" s="73" t="s">
        <v>254</v>
      </c>
    </row>
    <row r="308" customFormat="false" ht="15" hidden="false" customHeight="false" outlineLevel="0" collapsed="false">
      <c r="A308" s="72" t="n">
        <v>304</v>
      </c>
      <c r="B308" s="72" t="s">
        <v>1216</v>
      </c>
      <c r="C308" s="72" t="s">
        <v>259</v>
      </c>
      <c r="D308" s="73" t="s">
        <v>582</v>
      </c>
      <c r="E308" s="73" t="s">
        <v>254</v>
      </c>
      <c r="F308" s="72" t="s">
        <v>583</v>
      </c>
      <c r="G308" s="74" t="n">
        <v>54256</v>
      </c>
      <c r="H308" s="75" t="s">
        <v>1217</v>
      </c>
      <c r="I308" s="73" t="s">
        <v>254</v>
      </c>
    </row>
    <row r="309" customFormat="false" ht="15" hidden="false" customHeight="false" outlineLevel="0" collapsed="false">
      <c r="A309" s="72" t="n">
        <v>305</v>
      </c>
      <c r="B309" s="72" t="s">
        <v>1218</v>
      </c>
      <c r="C309" s="72" t="s">
        <v>259</v>
      </c>
      <c r="D309" s="73" t="s">
        <v>582</v>
      </c>
      <c r="E309" s="73" t="s">
        <v>254</v>
      </c>
      <c r="F309" s="72" t="s">
        <v>583</v>
      </c>
      <c r="G309" s="74" t="n">
        <v>20891</v>
      </c>
      <c r="H309" s="75" t="s">
        <v>1219</v>
      </c>
      <c r="I309" s="73" t="s">
        <v>254</v>
      </c>
    </row>
    <row r="310" customFormat="false" ht="15" hidden="false" customHeight="false" outlineLevel="0" collapsed="false">
      <c r="A310" s="72" t="n">
        <v>306</v>
      </c>
      <c r="B310" s="72" t="s">
        <v>1220</v>
      </c>
      <c r="C310" s="72" t="s">
        <v>259</v>
      </c>
      <c r="D310" s="73" t="s">
        <v>582</v>
      </c>
      <c r="E310" s="73" t="s">
        <v>254</v>
      </c>
      <c r="F310" s="72" t="s">
        <v>583</v>
      </c>
      <c r="G310" s="74" t="n">
        <v>26112</v>
      </c>
      <c r="H310" s="75" t="s">
        <v>1221</v>
      </c>
      <c r="I310" s="73" t="s">
        <v>254</v>
      </c>
    </row>
    <row r="311" customFormat="false" ht="15" hidden="false" customHeight="false" outlineLevel="0" collapsed="false">
      <c r="A311" s="72" t="n">
        <v>307</v>
      </c>
      <c r="B311" s="72" t="s">
        <v>1222</v>
      </c>
      <c r="C311" s="72" t="s">
        <v>259</v>
      </c>
      <c r="D311" s="73" t="s">
        <v>582</v>
      </c>
      <c r="E311" s="73" t="s">
        <v>254</v>
      </c>
      <c r="F311" s="72" t="s">
        <v>583</v>
      </c>
      <c r="G311" s="74" t="n">
        <v>2396</v>
      </c>
      <c r="H311" s="75" t="s">
        <v>1223</v>
      </c>
      <c r="I311" s="73" t="s">
        <v>254</v>
      </c>
    </row>
    <row r="312" customFormat="false" ht="15" hidden="false" customHeight="false" outlineLevel="0" collapsed="false">
      <c r="A312" s="72" t="n">
        <v>308</v>
      </c>
      <c r="B312" s="72" t="s">
        <v>1224</v>
      </c>
      <c r="C312" s="72" t="s">
        <v>259</v>
      </c>
      <c r="D312" s="73" t="s">
        <v>582</v>
      </c>
      <c r="E312" s="73" t="s">
        <v>254</v>
      </c>
      <c r="F312" s="72" t="s">
        <v>583</v>
      </c>
      <c r="G312" s="74" t="n">
        <v>4352</v>
      </c>
      <c r="H312" s="75" t="s">
        <v>1225</v>
      </c>
      <c r="I312" s="73" t="s">
        <v>254</v>
      </c>
    </row>
    <row r="313" customFormat="false" ht="15" hidden="false" customHeight="false" outlineLevel="0" collapsed="false">
      <c r="A313" s="72" t="n">
        <v>309</v>
      </c>
      <c r="B313" s="72" t="s">
        <v>1226</v>
      </c>
      <c r="C313" s="72" t="s">
        <v>259</v>
      </c>
      <c r="D313" s="73" t="s">
        <v>582</v>
      </c>
      <c r="E313" s="73" t="s">
        <v>254</v>
      </c>
      <c r="F313" s="72" t="s">
        <v>583</v>
      </c>
      <c r="G313" s="74" t="n">
        <v>10410</v>
      </c>
      <c r="H313" s="75" t="s">
        <v>1227</v>
      </c>
      <c r="I313" s="73" t="s">
        <v>254</v>
      </c>
    </row>
    <row r="314" customFormat="false" ht="15" hidden="false" customHeight="false" outlineLevel="0" collapsed="false">
      <c r="A314" s="72" t="n">
        <v>310</v>
      </c>
      <c r="B314" s="72" t="s">
        <v>1228</v>
      </c>
      <c r="C314" s="72" t="s">
        <v>259</v>
      </c>
      <c r="D314" s="73" t="s">
        <v>582</v>
      </c>
      <c r="E314" s="73" t="s">
        <v>254</v>
      </c>
      <c r="F314" s="72" t="s">
        <v>583</v>
      </c>
      <c r="G314" s="74" t="n">
        <v>7097</v>
      </c>
      <c r="H314" s="75" t="s">
        <v>1229</v>
      </c>
      <c r="I314" s="73" t="s">
        <v>254</v>
      </c>
    </row>
    <row r="315" customFormat="false" ht="15" hidden="false" customHeight="false" outlineLevel="0" collapsed="false">
      <c r="A315" s="72" t="n">
        <v>311</v>
      </c>
      <c r="B315" s="72" t="s">
        <v>1230</v>
      </c>
      <c r="C315" s="72" t="s">
        <v>259</v>
      </c>
      <c r="D315" s="73" t="s">
        <v>582</v>
      </c>
      <c r="E315" s="73" t="s">
        <v>254</v>
      </c>
      <c r="F315" s="72" t="s">
        <v>583</v>
      </c>
      <c r="G315" s="74" t="n">
        <v>4623</v>
      </c>
      <c r="H315" s="75" t="s">
        <v>1231</v>
      </c>
      <c r="I315" s="73" t="s">
        <v>254</v>
      </c>
    </row>
    <row r="316" customFormat="false" ht="15" hidden="false" customHeight="false" outlineLevel="0" collapsed="false">
      <c r="A316" s="72" t="n">
        <v>312</v>
      </c>
      <c r="B316" s="72" t="s">
        <v>1232</v>
      </c>
      <c r="C316" s="72" t="s">
        <v>259</v>
      </c>
      <c r="D316" s="73" t="s">
        <v>582</v>
      </c>
      <c r="E316" s="73" t="s">
        <v>254</v>
      </c>
      <c r="F316" s="72" t="s">
        <v>583</v>
      </c>
      <c r="G316" s="74" t="n">
        <v>3213</v>
      </c>
      <c r="H316" s="75" t="s">
        <v>1233</v>
      </c>
      <c r="I316" s="73" t="s">
        <v>254</v>
      </c>
    </row>
    <row r="317" customFormat="false" ht="15" hidden="false" customHeight="false" outlineLevel="0" collapsed="false">
      <c r="A317" s="72" t="n">
        <v>313</v>
      </c>
      <c r="B317" s="72" t="s">
        <v>1234</v>
      </c>
      <c r="C317" s="72" t="s">
        <v>259</v>
      </c>
      <c r="D317" s="73" t="s">
        <v>582</v>
      </c>
      <c r="E317" s="73" t="s">
        <v>254</v>
      </c>
      <c r="F317" s="72" t="s">
        <v>583</v>
      </c>
      <c r="G317" s="74" t="n">
        <v>9586</v>
      </c>
      <c r="H317" s="75" t="s">
        <v>1235</v>
      </c>
      <c r="I317" s="73" t="s">
        <v>254</v>
      </c>
    </row>
    <row r="318" customFormat="false" ht="15" hidden="false" customHeight="false" outlineLevel="0" collapsed="false">
      <c r="A318" s="72" t="n">
        <v>314</v>
      </c>
      <c r="B318" s="72" t="s">
        <v>1236</v>
      </c>
      <c r="C318" s="72" t="s">
        <v>259</v>
      </c>
      <c r="D318" s="73" t="s">
        <v>582</v>
      </c>
      <c r="E318" s="73" t="s">
        <v>254</v>
      </c>
      <c r="F318" s="72" t="s">
        <v>583</v>
      </c>
      <c r="G318" s="74" t="n">
        <v>3147</v>
      </c>
      <c r="H318" s="75" t="s">
        <v>1237</v>
      </c>
      <c r="I318" s="73" t="s">
        <v>254</v>
      </c>
    </row>
    <row r="319" customFormat="false" ht="15" hidden="false" customHeight="false" outlineLevel="0" collapsed="false">
      <c r="A319" s="72" t="n">
        <v>315</v>
      </c>
      <c r="B319" s="72" t="s">
        <v>1238</v>
      </c>
      <c r="C319" s="72" t="s">
        <v>259</v>
      </c>
      <c r="D319" s="73" t="s">
        <v>582</v>
      </c>
      <c r="E319" s="73" t="s">
        <v>254</v>
      </c>
      <c r="F319" s="72" t="s">
        <v>583</v>
      </c>
      <c r="G319" s="74" t="n">
        <v>9182</v>
      </c>
      <c r="H319" s="75" t="s">
        <v>1239</v>
      </c>
      <c r="I319" s="73" t="s">
        <v>254</v>
      </c>
    </row>
    <row r="320" customFormat="false" ht="15" hidden="false" customHeight="false" outlineLevel="0" collapsed="false">
      <c r="A320" s="72" t="n">
        <v>316</v>
      </c>
      <c r="B320" s="72" t="s">
        <v>1240</v>
      </c>
      <c r="C320" s="72" t="s">
        <v>259</v>
      </c>
      <c r="D320" s="73" t="s">
        <v>582</v>
      </c>
      <c r="E320" s="73" t="s">
        <v>254</v>
      </c>
      <c r="F320" s="72" t="s">
        <v>583</v>
      </c>
      <c r="G320" s="74" t="n">
        <v>19486</v>
      </c>
      <c r="H320" s="75" t="s">
        <v>1241</v>
      </c>
      <c r="I320" s="73" t="s">
        <v>254</v>
      </c>
    </row>
    <row r="321" customFormat="false" ht="15" hidden="false" customHeight="false" outlineLevel="0" collapsed="false">
      <c r="A321" s="72" t="n">
        <v>317</v>
      </c>
      <c r="B321" s="72" t="s">
        <v>1242</v>
      </c>
      <c r="C321" s="72" t="s">
        <v>262</v>
      </c>
      <c r="D321" s="73" t="s">
        <v>1243</v>
      </c>
      <c r="E321" s="73" t="s">
        <v>1244</v>
      </c>
      <c r="F321" s="72" t="s">
        <v>1245</v>
      </c>
      <c r="G321" s="74" t="n">
        <v>146717</v>
      </c>
      <c r="H321" s="75" t="s">
        <v>1246</v>
      </c>
      <c r="I321" s="73" t="s">
        <v>254</v>
      </c>
    </row>
    <row r="322" customFormat="false" ht="15" hidden="false" customHeight="false" outlineLevel="0" collapsed="false">
      <c r="A322" s="72" t="n">
        <v>318</v>
      </c>
      <c r="B322" s="72" t="s">
        <v>1247</v>
      </c>
      <c r="C322" s="72" t="s">
        <v>262</v>
      </c>
      <c r="D322" s="73" t="s">
        <v>1243</v>
      </c>
      <c r="E322" s="73" t="s">
        <v>1244</v>
      </c>
      <c r="F322" s="72" t="s">
        <v>1245</v>
      </c>
      <c r="G322" s="74" t="n">
        <v>83161</v>
      </c>
      <c r="H322" s="75" t="s">
        <v>1248</v>
      </c>
      <c r="I322" s="73" t="s">
        <v>254</v>
      </c>
    </row>
    <row r="323" customFormat="false" ht="15" hidden="false" customHeight="false" outlineLevel="0" collapsed="false">
      <c r="A323" s="72" t="n">
        <v>319</v>
      </c>
      <c r="B323" s="72" t="s">
        <v>1249</v>
      </c>
      <c r="C323" s="72" t="s">
        <v>262</v>
      </c>
      <c r="D323" s="73" t="s">
        <v>1243</v>
      </c>
      <c r="E323" s="73" t="s">
        <v>1244</v>
      </c>
      <c r="F323" s="72" t="s">
        <v>1250</v>
      </c>
      <c r="G323" s="74" t="n">
        <v>49993</v>
      </c>
      <c r="H323" s="75" t="s">
        <v>1251</v>
      </c>
      <c r="I323" s="73" t="s">
        <v>254</v>
      </c>
    </row>
    <row r="324" customFormat="false" ht="15" hidden="false" customHeight="false" outlineLevel="0" collapsed="false">
      <c r="A324" s="72" t="n">
        <v>320</v>
      </c>
      <c r="B324" s="72" t="s">
        <v>1252</v>
      </c>
      <c r="C324" s="72" t="s">
        <v>259</v>
      </c>
      <c r="D324" s="73" t="s">
        <v>582</v>
      </c>
      <c r="E324" s="73" t="s">
        <v>254</v>
      </c>
      <c r="F324" s="72" t="s">
        <v>583</v>
      </c>
      <c r="G324" s="74" t="n">
        <v>8406</v>
      </c>
      <c r="H324" s="75" t="s">
        <v>1253</v>
      </c>
      <c r="I324" s="73" t="s">
        <v>254</v>
      </c>
    </row>
    <row r="325" customFormat="false" ht="15" hidden="false" customHeight="false" outlineLevel="0" collapsed="false">
      <c r="A325" s="72" t="n">
        <v>321</v>
      </c>
      <c r="B325" s="72" t="s">
        <v>1254</v>
      </c>
      <c r="C325" s="72" t="s">
        <v>265</v>
      </c>
      <c r="D325" s="72" t="s">
        <v>1255</v>
      </c>
      <c r="E325" s="73" t="s">
        <v>254</v>
      </c>
      <c r="F325" s="72" t="s">
        <v>583</v>
      </c>
      <c r="G325" s="74" t="n">
        <v>2370</v>
      </c>
      <c r="H325" s="75" t="s">
        <v>1256</v>
      </c>
      <c r="I325" s="73" t="s">
        <v>254</v>
      </c>
    </row>
    <row r="326" customFormat="false" ht="15" hidden="false" customHeight="false" outlineLevel="0" collapsed="false">
      <c r="A326" s="72" t="n">
        <v>322</v>
      </c>
      <c r="B326" s="72" t="s">
        <v>1257</v>
      </c>
      <c r="C326" s="72" t="s">
        <v>265</v>
      </c>
      <c r="D326" s="72" t="s">
        <v>1255</v>
      </c>
      <c r="E326" s="73" t="s">
        <v>254</v>
      </c>
      <c r="F326" s="72" t="s">
        <v>583</v>
      </c>
      <c r="G326" s="74" t="n">
        <v>2857</v>
      </c>
      <c r="H326" s="75" t="s">
        <v>1258</v>
      </c>
      <c r="I326" s="73" t="s">
        <v>254</v>
      </c>
    </row>
    <row r="327" customFormat="false" ht="15" hidden="false" customHeight="false" outlineLevel="0" collapsed="false">
      <c r="A327" s="72" t="n">
        <v>323</v>
      </c>
      <c r="B327" s="72" t="s">
        <v>1259</v>
      </c>
      <c r="C327" s="72" t="s">
        <v>265</v>
      </c>
      <c r="D327" s="72" t="s">
        <v>1255</v>
      </c>
      <c r="E327" s="73" t="s">
        <v>722</v>
      </c>
      <c r="F327" s="72" t="s">
        <v>723</v>
      </c>
      <c r="G327" s="74" t="n">
        <v>103480</v>
      </c>
      <c r="H327" s="75" t="s">
        <v>1260</v>
      </c>
      <c r="I327" s="73" t="s">
        <v>254</v>
      </c>
    </row>
    <row r="328" customFormat="false" ht="15" hidden="false" customHeight="false" outlineLevel="0" collapsed="false">
      <c r="A328" s="72" t="n">
        <v>324</v>
      </c>
      <c r="B328" s="72" t="s">
        <v>1261</v>
      </c>
      <c r="C328" s="72" t="s">
        <v>265</v>
      </c>
      <c r="D328" s="72" t="s">
        <v>1255</v>
      </c>
      <c r="E328" s="73" t="s">
        <v>722</v>
      </c>
      <c r="F328" s="72" t="s">
        <v>723</v>
      </c>
      <c r="G328" s="74" t="n">
        <v>55200</v>
      </c>
      <c r="H328" s="75" t="s">
        <v>1262</v>
      </c>
      <c r="I328" s="73" t="s">
        <v>254</v>
      </c>
    </row>
    <row r="329" customFormat="false" ht="15" hidden="false" customHeight="false" outlineLevel="0" collapsed="false">
      <c r="A329" s="72" t="n">
        <v>325</v>
      </c>
      <c r="B329" s="72" t="s">
        <v>1263</v>
      </c>
      <c r="C329" s="72" t="s">
        <v>265</v>
      </c>
      <c r="D329" s="72" t="s">
        <v>1255</v>
      </c>
      <c r="E329" s="73" t="s">
        <v>722</v>
      </c>
      <c r="F329" s="72" t="s">
        <v>723</v>
      </c>
      <c r="G329" s="74" t="n">
        <v>163764</v>
      </c>
      <c r="H329" s="75" t="s">
        <v>1264</v>
      </c>
      <c r="I329" s="73" t="s">
        <v>254</v>
      </c>
    </row>
    <row r="330" customFormat="false" ht="15" hidden="false" customHeight="false" outlineLevel="0" collapsed="false">
      <c r="A330" s="72" t="n">
        <v>326</v>
      </c>
      <c r="B330" s="72" t="s">
        <v>1265</v>
      </c>
      <c r="C330" s="72" t="s">
        <v>265</v>
      </c>
      <c r="D330" s="72" t="s">
        <v>1255</v>
      </c>
      <c r="E330" s="73" t="s">
        <v>722</v>
      </c>
      <c r="F330" s="72" t="s">
        <v>723</v>
      </c>
      <c r="G330" s="74" t="n">
        <v>58667</v>
      </c>
      <c r="H330" s="75" t="s">
        <v>1266</v>
      </c>
      <c r="I330" s="73" t="s">
        <v>254</v>
      </c>
    </row>
    <row r="331" customFormat="false" ht="15" hidden="false" customHeight="false" outlineLevel="0" collapsed="false">
      <c r="A331" s="72" t="n">
        <v>327</v>
      </c>
      <c r="B331" s="72" t="s">
        <v>1267</v>
      </c>
      <c r="C331" s="72" t="s">
        <v>265</v>
      </c>
      <c r="D331" s="72" t="s">
        <v>1255</v>
      </c>
      <c r="E331" s="73" t="s">
        <v>722</v>
      </c>
      <c r="F331" s="72" t="s">
        <v>723</v>
      </c>
      <c r="G331" s="74" t="n">
        <v>78993</v>
      </c>
      <c r="H331" s="75" t="s">
        <v>1268</v>
      </c>
      <c r="I331" s="73" t="s">
        <v>254</v>
      </c>
    </row>
    <row r="332" customFormat="false" ht="15" hidden="false" customHeight="false" outlineLevel="0" collapsed="false">
      <c r="A332" s="72" t="n">
        <v>328</v>
      </c>
      <c r="B332" s="72" t="s">
        <v>1269</v>
      </c>
      <c r="C332" s="72" t="s">
        <v>265</v>
      </c>
      <c r="D332" s="72" t="s">
        <v>1255</v>
      </c>
      <c r="E332" s="73" t="s">
        <v>722</v>
      </c>
      <c r="F332" s="72" t="s">
        <v>723</v>
      </c>
      <c r="G332" s="74" t="n">
        <v>52992</v>
      </c>
      <c r="H332" s="75" t="s">
        <v>1270</v>
      </c>
      <c r="I332" s="73" t="s">
        <v>254</v>
      </c>
    </row>
    <row r="333" customFormat="false" ht="15" hidden="false" customHeight="false" outlineLevel="0" collapsed="false">
      <c r="A333" s="72" t="n">
        <v>329</v>
      </c>
      <c r="B333" s="72" t="s">
        <v>1271</v>
      </c>
      <c r="C333" s="72" t="s">
        <v>265</v>
      </c>
      <c r="D333" s="72" t="s">
        <v>1255</v>
      </c>
      <c r="E333" s="73" t="s">
        <v>722</v>
      </c>
      <c r="F333" s="72" t="s">
        <v>723</v>
      </c>
      <c r="G333" s="74" t="n">
        <v>76048</v>
      </c>
      <c r="H333" s="75" t="s">
        <v>1272</v>
      </c>
      <c r="I333" s="73" t="s">
        <v>254</v>
      </c>
    </row>
    <row r="334" customFormat="false" ht="15" hidden="false" customHeight="false" outlineLevel="0" collapsed="false">
      <c r="A334" s="72" t="n">
        <v>330</v>
      </c>
      <c r="B334" s="72" t="s">
        <v>1273</v>
      </c>
      <c r="C334" s="72" t="s">
        <v>265</v>
      </c>
      <c r="D334" s="72" t="s">
        <v>1255</v>
      </c>
      <c r="E334" s="73" t="s">
        <v>722</v>
      </c>
      <c r="F334" s="72" t="s">
        <v>723</v>
      </c>
      <c r="G334" s="74" t="n">
        <v>165406</v>
      </c>
      <c r="H334" s="75" t="s">
        <v>1274</v>
      </c>
      <c r="I334" s="73" t="s">
        <v>254</v>
      </c>
    </row>
    <row r="335" customFormat="false" ht="15" hidden="false" customHeight="false" outlineLevel="0" collapsed="false">
      <c r="A335" s="72" t="n">
        <v>331</v>
      </c>
      <c r="B335" s="72" t="s">
        <v>1275</v>
      </c>
      <c r="C335" s="72" t="s">
        <v>265</v>
      </c>
      <c r="D335" s="72" t="s">
        <v>1255</v>
      </c>
      <c r="E335" s="73" t="s">
        <v>722</v>
      </c>
      <c r="F335" s="72" t="s">
        <v>723</v>
      </c>
      <c r="G335" s="74" t="n">
        <v>63653</v>
      </c>
      <c r="H335" s="75" t="s">
        <v>1276</v>
      </c>
      <c r="I335" s="73" t="s">
        <v>254</v>
      </c>
    </row>
    <row r="336" customFormat="false" ht="15" hidden="false" customHeight="false" outlineLevel="0" collapsed="false">
      <c r="A336" s="72" t="n">
        <v>332</v>
      </c>
      <c r="B336" s="72" t="s">
        <v>1277</v>
      </c>
      <c r="C336" s="72" t="s">
        <v>265</v>
      </c>
      <c r="D336" s="72" t="s">
        <v>1255</v>
      </c>
      <c r="E336" s="73" t="s">
        <v>722</v>
      </c>
      <c r="F336" s="72" t="s">
        <v>723</v>
      </c>
      <c r="G336" s="74" t="n">
        <v>80355</v>
      </c>
      <c r="H336" s="75" t="s">
        <v>1278</v>
      </c>
      <c r="I336" s="73" t="s">
        <v>254</v>
      </c>
    </row>
    <row r="337" customFormat="false" ht="15" hidden="false" customHeight="false" outlineLevel="0" collapsed="false">
      <c r="A337" s="72" t="n">
        <v>333</v>
      </c>
      <c r="B337" s="72" t="s">
        <v>1279</v>
      </c>
      <c r="C337" s="72" t="s">
        <v>265</v>
      </c>
      <c r="D337" s="72" t="s">
        <v>1255</v>
      </c>
      <c r="E337" s="73" t="s">
        <v>722</v>
      </c>
      <c r="F337" s="72" t="s">
        <v>723</v>
      </c>
      <c r="G337" s="74" t="n">
        <v>55266</v>
      </c>
      <c r="H337" s="75" t="s">
        <v>1280</v>
      </c>
      <c r="I337" s="73" t="s">
        <v>254</v>
      </c>
    </row>
    <row r="338" customFormat="false" ht="15" hidden="false" customHeight="false" outlineLevel="0" collapsed="false">
      <c r="A338" s="72" t="n">
        <v>334</v>
      </c>
      <c r="B338" s="72" t="s">
        <v>1281</v>
      </c>
      <c r="C338" s="72" t="s">
        <v>265</v>
      </c>
      <c r="D338" s="72" t="s">
        <v>1255</v>
      </c>
      <c r="E338" s="73" t="s">
        <v>722</v>
      </c>
      <c r="F338" s="72" t="s">
        <v>723</v>
      </c>
      <c r="G338" s="74" t="n">
        <v>91480</v>
      </c>
      <c r="H338" s="75" t="s">
        <v>1282</v>
      </c>
      <c r="I338" s="73" t="s">
        <v>254</v>
      </c>
    </row>
    <row r="339" customFormat="false" ht="15" hidden="false" customHeight="false" outlineLevel="0" collapsed="false">
      <c r="A339" s="72" t="n">
        <v>335</v>
      </c>
      <c r="B339" s="72" t="s">
        <v>1283</v>
      </c>
      <c r="C339" s="72" t="s">
        <v>265</v>
      </c>
      <c r="D339" s="72" t="s">
        <v>1255</v>
      </c>
      <c r="E339" s="73" t="s">
        <v>722</v>
      </c>
      <c r="F339" s="72" t="s">
        <v>723</v>
      </c>
      <c r="G339" s="74" t="n">
        <v>75086</v>
      </c>
      <c r="H339" s="75" t="s">
        <v>1284</v>
      </c>
      <c r="I339" s="73" t="s">
        <v>254</v>
      </c>
    </row>
    <row r="340" customFormat="false" ht="15" hidden="false" customHeight="false" outlineLevel="0" collapsed="false">
      <c r="A340" s="72" t="n">
        <v>336</v>
      </c>
      <c r="B340" s="72" t="s">
        <v>1285</v>
      </c>
      <c r="C340" s="72" t="s">
        <v>265</v>
      </c>
      <c r="D340" s="72" t="s">
        <v>1255</v>
      </c>
      <c r="E340" s="73" t="s">
        <v>722</v>
      </c>
      <c r="F340" s="72" t="s">
        <v>723</v>
      </c>
      <c r="G340" s="74" t="n">
        <v>100898</v>
      </c>
      <c r="H340" s="75" t="s">
        <v>1286</v>
      </c>
      <c r="I340" s="73" t="s">
        <v>254</v>
      </c>
    </row>
    <row r="341" customFormat="false" ht="15" hidden="false" customHeight="false" outlineLevel="0" collapsed="false">
      <c r="A341" s="72" t="n">
        <v>337</v>
      </c>
      <c r="B341" s="72" t="s">
        <v>1287</v>
      </c>
      <c r="C341" s="72" t="s">
        <v>265</v>
      </c>
      <c r="D341" s="72" t="s">
        <v>1255</v>
      </c>
      <c r="E341" s="73" t="s">
        <v>722</v>
      </c>
      <c r="F341" s="72" t="s">
        <v>723</v>
      </c>
      <c r="G341" s="74" t="n">
        <v>123803</v>
      </c>
      <c r="H341" s="75" t="s">
        <v>1288</v>
      </c>
      <c r="I341" s="73" t="s">
        <v>254</v>
      </c>
    </row>
    <row r="342" customFormat="false" ht="15" hidden="false" customHeight="false" outlineLevel="0" collapsed="false">
      <c r="A342" s="72" t="n">
        <v>338</v>
      </c>
      <c r="B342" s="72" t="s">
        <v>1289</v>
      </c>
      <c r="C342" s="72" t="s">
        <v>265</v>
      </c>
      <c r="D342" s="72" t="s">
        <v>1255</v>
      </c>
      <c r="E342" s="73" t="s">
        <v>722</v>
      </c>
      <c r="F342" s="72" t="s">
        <v>723</v>
      </c>
      <c r="G342" s="74" t="n">
        <v>40697</v>
      </c>
      <c r="H342" s="75" t="s">
        <v>1290</v>
      </c>
      <c r="I342" s="73" t="s">
        <v>254</v>
      </c>
    </row>
    <row r="343" customFormat="false" ht="15" hidden="false" customHeight="false" outlineLevel="0" collapsed="false">
      <c r="A343" s="72" t="n">
        <v>339</v>
      </c>
      <c r="B343" s="72" t="s">
        <v>1291</v>
      </c>
      <c r="C343" s="72" t="s">
        <v>265</v>
      </c>
      <c r="D343" s="72" t="s">
        <v>1255</v>
      </c>
      <c r="E343" s="73" t="s">
        <v>722</v>
      </c>
      <c r="F343" s="72" t="s">
        <v>723</v>
      </c>
      <c r="G343" s="74" t="n">
        <v>78080</v>
      </c>
      <c r="H343" s="75" t="s">
        <v>1292</v>
      </c>
      <c r="I343" s="73" t="s">
        <v>254</v>
      </c>
    </row>
    <row r="344" customFormat="false" ht="15" hidden="false" customHeight="false" outlineLevel="0" collapsed="false">
      <c r="A344" s="72" t="n">
        <v>340</v>
      </c>
      <c r="B344" s="72" t="s">
        <v>1293</v>
      </c>
      <c r="C344" s="72" t="s">
        <v>265</v>
      </c>
      <c r="D344" s="72" t="s">
        <v>1255</v>
      </c>
      <c r="E344" s="73" t="s">
        <v>722</v>
      </c>
      <c r="F344" s="72" t="s">
        <v>723</v>
      </c>
      <c r="G344" s="74" t="n">
        <v>39403</v>
      </c>
      <c r="H344" s="75" t="s">
        <v>1294</v>
      </c>
      <c r="I344" s="73" t="s">
        <v>254</v>
      </c>
    </row>
    <row r="345" customFormat="false" ht="15" hidden="false" customHeight="false" outlineLevel="0" collapsed="false">
      <c r="A345" s="72" t="n">
        <v>341</v>
      </c>
      <c r="B345" s="72" t="s">
        <v>1295</v>
      </c>
      <c r="C345" s="72" t="s">
        <v>265</v>
      </c>
      <c r="D345" s="72" t="s">
        <v>1255</v>
      </c>
      <c r="E345" s="73" t="s">
        <v>722</v>
      </c>
      <c r="F345" s="72" t="s">
        <v>723</v>
      </c>
      <c r="G345" s="74" t="n">
        <v>135959</v>
      </c>
      <c r="H345" s="75" t="s">
        <v>1296</v>
      </c>
      <c r="I345" s="73" t="s">
        <v>254</v>
      </c>
    </row>
    <row r="346" customFormat="false" ht="15" hidden="false" customHeight="false" outlineLevel="0" collapsed="false">
      <c r="A346" s="72" t="n">
        <v>342</v>
      </c>
      <c r="B346" s="72" t="s">
        <v>1297</v>
      </c>
      <c r="C346" s="72" t="s">
        <v>265</v>
      </c>
      <c r="D346" s="72" t="s">
        <v>1255</v>
      </c>
      <c r="E346" s="73" t="s">
        <v>722</v>
      </c>
      <c r="F346" s="72" t="s">
        <v>723</v>
      </c>
      <c r="G346" s="74" t="n">
        <v>41651</v>
      </c>
      <c r="H346" s="75" t="s">
        <v>1298</v>
      </c>
      <c r="I346" s="73" t="s">
        <v>254</v>
      </c>
    </row>
    <row r="347" customFormat="false" ht="15" hidden="false" customHeight="false" outlineLevel="0" collapsed="false">
      <c r="A347" s="72" t="n">
        <v>343</v>
      </c>
      <c r="B347" s="72" t="s">
        <v>1299</v>
      </c>
      <c r="C347" s="72" t="s">
        <v>265</v>
      </c>
      <c r="D347" s="72" t="s">
        <v>1255</v>
      </c>
      <c r="E347" s="73" t="s">
        <v>722</v>
      </c>
      <c r="F347" s="72" t="s">
        <v>723</v>
      </c>
      <c r="G347" s="74" t="n">
        <v>56987</v>
      </c>
      <c r="H347" s="75" t="s">
        <v>1300</v>
      </c>
      <c r="I347" s="73" t="s">
        <v>254</v>
      </c>
    </row>
    <row r="348" customFormat="false" ht="15" hidden="false" customHeight="false" outlineLevel="0" collapsed="false">
      <c r="A348" s="72" t="n">
        <v>344</v>
      </c>
      <c r="B348" s="72" t="s">
        <v>1301</v>
      </c>
      <c r="C348" s="72" t="s">
        <v>265</v>
      </c>
      <c r="D348" s="72" t="s">
        <v>1255</v>
      </c>
      <c r="E348" s="73" t="s">
        <v>722</v>
      </c>
      <c r="F348" s="72" t="s">
        <v>723</v>
      </c>
      <c r="G348" s="74" t="n">
        <v>34259</v>
      </c>
      <c r="H348" s="75" t="s">
        <v>1302</v>
      </c>
      <c r="I348" s="73" t="s">
        <v>254</v>
      </c>
    </row>
    <row r="349" customFormat="false" ht="15" hidden="false" customHeight="false" outlineLevel="0" collapsed="false">
      <c r="A349" s="72" t="n">
        <v>345</v>
      </c>
      <c r="B349" s="72" t="s">
        <v>1303</v>
      </c>
      <c r="C349" s="72" t="s">
        <v>265</v>
      </c>
      <c r="D349" s="72" t="s">
        <v>1255</v>
      </c>
      <c r="E349" s="73" t="s">
        <v>722</v>
      </c>
      <c r="F349" s="72" t="s">
        <v>723</v>
      </c>
      <c r="G349" s="74" t="n">
        <v>53595</v>
      </c>
      <c r="H349" s="75" t="s">
        <v>1304</v>
      </c>
      <c r="I349" s="73" t="s">
        <v>254</v>
      </c>
    </row>
    <row r="350" customFormat="false" ht="15" hidden="false" customHeight="false" outlineLevel="0" collapsed="false">
      <c r="A350" s="72" t="n">
        <v>346</v>
      </c>
      <c r="B350" s="72" t="s">
        <v>1305</v>
      </c>
      <c r="C350" s="72" t="s">
        <v>265</v>
      </c>
      <c r="D350" s="72" t="s">
        <v>1255</v>
      </c>
      <c r="E350" s="73" t="s">
        <v>722</v>
      </c>
      <c r="F350" s="72" t="s">
        <v>723</v>
      </c>
      <c r="G350" s="74" t="n">
        <v>137605</v>
      </c>
      <c r="H350" s="75" t="s">
        <v>1306</v>
      </c>
      <c r="I350" s="73" t="s">
        <v>254</v>
      </c>
    </row>
    <row r="351" customFormat="false" ht="15" hidden="false" customHeight="false" outlineLevel="0" collapsed="false">
      <c r="A351" s="72" t="n">
        <v>347</v>
      </c>
      <c r="B351" s="72" t="s">
        <v>1307</v>
      </c>
      <c r="C351" s="72" t="s">
        <v>265</v>
      </c>
      <c r="D351" s="72" t="s">
        <v>1255</v>
      </c>
      <c r="E351" s="73" t="s">
        <v>722</v>
      </c>
      <c r="F351" s="72" t="s">
        <v>723</v>
      </c>
      <c r="G351" s="74" t="n">
        <v>45110</v>
      </c>
      <c r="H351" s="75" t="s">
        <v>1308</v>
      </c>
      <c r="I351" s="73" t="s">
        <v>254</v>
      </c>
    </row>
    <row r="352" customFormat="false" ht="15" hidden="false" customHeight="false" outlineLevel="0" collapsed="false">
      <c r="A352" s="72" t="n">
        <v>348</v>
      </c>
      <c r="B352" s="72" t="s">
        <v>1309</v>
      </c>
      <c r="C352" s="72" t="s">
        <v>265</v>
      </c>
      <c r="D352" s="72" t="s">
        <v>1255</v>
      </c>
      <c r="E352" s="73" t="s">
        <v>722</v>
      </c>
      <c r="F352" s="72" t="s">
        <v>723</v>
      </c>
      <c r="G352" s="74" t="n">
        <v>59157</v>
      </c>
      <c r="H352" s="75" t="s">
        <v>1310</v>
      </c>
      <c r="I352" s="73" t="s">
        <v>254</v>
      </c>
    </row>
    <row r="353" customFormat="false" ht="15" hidden="false" customHeight="false" outlineLevel="0" collapsed="false">
      <c r="A353" s="72" t="n">
        <v>349</v>
      </c>
      <c r="B353" s="72" t="s">
        <v>1311</v>
      </c>
      <c r="C353" s="72" t="s">
        <v>265</v>
      </c>
      <c r="D353" s="72" t="s">
        <v>1255</v>
      </c>
      <c r="E353" s="73" t="s">
        <v>722</v>
      </c>
      <c r="F353" s="72" t="s">
        <v>723</v>
      </c>
      <c r="G353" s="74" t="n">
        <v>36968</v>
      </c>
      <c r="H353" s="75" t="s">
        <v>1312</v>
      </c>
      <c r="I353" s="73" t="s">
        <v>254</v>
      </c>
    </row>
    <row r="354" customFormat="false" ht="15" hidden="false" customHeight="false" outlineLevel="0" collapsed="false">
      <c r="A354" s="72" t="n">
        <v>350</v>
      </c>
      <c r="B354" s="72" t="s">
        <v>1313</v>
      </c>
      <c r="C354" s="72" t="s">
        <v>265</v>
      </c>
      <c r="D354" s="72" t="s">
        <v>1255</v>
      </c>
      <c r="E354" s="73" t="s">
        <v>722</v>
      </c>
      <c r="F354" s="72" t="s">
        <v>723</v>
      </c>
      <c r="G354" s="74" t="n">
        <v>66252</v>
      </c>
      <c r="H354" s="75" t="s">
        <v>1314</v>
      </c>
      <c r="I354" s="73" t="s">
        <v>254</v>
      </c>
    </row>
    <row r="355" customFormat="false" ht="15" hidden="false" customHeight="false" outlineLevel="0" collapsed="false">
      <c r="A355" s="72" t="n">
        <v>351</v>
      </c>
      <c r="B355" s="72" t="s">
        <v>1315</v>
      </c>
      <c r="C355" s="72" t="s">
        <v>265</v>
      </c>
      <c r="D355" s="72" t="s">
        <v>1255</v>
      </c>
      <c r="E355" s="73" t="s">
        <v>722</v>
      </c>
      <c r="F355" s="72" t="s">
        <v>723</v>
      </c>
      <c r="G355" s="74" t="n">
        <v>62803</v>
      </c>
      <c r="H355" s="75" t="s">
        <v>1316</v>
      </c>
      <c r="I355" s="73" t="s">
        <v>254</v>
      </c>
    </row>
    <row r="356" customFormat="false" ht="15" hidden="false" customHeight="false" outlineLevel="0" collapsed="false">
      <c r="A356" s="72" t="n">
        <v>352</v>
      </c>
      <c r="B356" s="72" t="s">
        <v>1317</v>
      </c>
      <c r="C356" s="72" t="s">
        <v>265</v>
      </c>
      <c r="D356" s="72" t="s">
        <v>1255</v>
      </c>
      <c r="E356" s="73" t="s">
        <v>722</v>
      </c>
      <c r="F356" s="72" t="s">
        <v>723</v>
      </c>
      <c r="G356" s="74" t="n">
        <v>74540</v>
      </c>
      <c r="H356" s="75" t="s">
        <v>1318</v>
      </c>
      <c r="I356" s="73" t="s">
        <v>254</v>
      </c>
    </row>
    <row r="357" customFormat="false" ht="15" hidden="false" customHeight="false" outlineLevel="0" collapsed="false">
      <c r="A357" s="72" t="n">
        <v>353</v>
      </c>
      <c r="B357" s="72" t="s">
        <v>1319</v>
      </c>
      <c r="C357" s="72" t="s">
        <v>265</v>
      </c>
      <c r="D357" s="72" t="s">
        <v>1255</v>
      </c>
      <c r="E357" s="73" t="s">
        <v>722</v>
      </c>
      <c r="F357" s="72" t="s">
        <v>723</v>
      </c>
      <c r="G357" s="74" t="n">
        <v>96986</v>
      </c>
      <c r="H357" s="75" t="s">
        <v>1320</v>
      </c>
      <c r="I357" s="73" t="s">
        <v>254</v>
      </c>
    </row>
    <row r="358" customFormat="false" ht="15" hidden="false" customHeight="false" outlineLevel="0" collapsed="false">
      <c r="A358" s="72" t="n">
        <v>354</v>
      </c>
      <c r="B358" s="72" t="s">
        <v>1321</v>
      </c>
      <c r="C358" s="72" t="s">
        <v>265</v>
      </c>
      <c r="D358" s="72" t="s">
        <v>1255</v>
      </c>
      <c r="E358" s="73" t="s">
        <v>722</v>
      </c>
      <c r="F358" s="72" t="s">
        <v>723</v>
      </c>
      <c r="G358" s="74" t="n">
        <v>23722</v>
      </c>
      <c r="H358" s="75" t="s">
        <v>1322</v>
      </c>
      <c r="I358" s="73" t="s">
        <v>254</v>
      </c>
    </row>
    <row r="359" customFormat="false" ht="15" hidden="false" customHeight="false" outlineLevel="0" collapsed="false">
      <c r="A359" s="72" t="n">
        <v>355</v>
      </c>
      <c r="B359" s="72" t="s">
        <v>1323</v>
      </c>
      <c r="C359" s="72" t="s">
        <v>265</v>
      </c>
      <c r="D359" s="72" t="s">
        <v>1255</v>
      </c>
      <c r="E359" s="73" t="s">
        <v>254</v>
      </c>
      <c r="F359" s="72" t="s">
        <v>583</v>
      </c>
      <c r="G359" s="74" t="n">
        <v>8537</v>
      </c>
      <c r="H359" s="75" t="s">
        <v>1324</v>
      </c>
      <c r="I359" s="73" t="s">
        <v>254</v>
      </c>
    </row>
    <row r="360" customFormat="false" ht="15" hidden="false" customHeight="false" outlineLevel="0" collapsed="false">
      <c r="A360" s="72" t="n">
        <v>356</v>
      </c>
      <c r="B360" s="72" t="s">
        <v>1325</v>
      </c>
      <c r="C360" s="72" t="s">
        <v>265</v>
      </c>
      <c r="D360" s="72" t="s">
        <v>1255</v>
      </c>
      <c r="E360" s="73" t="s">
        <v>722</v>
      </c>
      <c r="F360" s="72" t="s">
        <v>723</v>
      </c>
      <c r="G360" s="74" t="n">
        <v>294610</v>
      </c>
      <c r="H360" s="75" t="s">
        <v>1326</v>
      </c>
      <c r="I360" s="73" t="s">
        <v>254</v>
      </c>
    </row>
    <row r="361" customFormat="false" ht="15" hidden="false" customHeight="false" outlineLevel="0" collapsed="false">
      <c r="A361" s="72" t="n">
        <v>357</v>
      </c>
      <c r="B361" s="72" t="s">
        <v>1327</v>
      </c>
      <c r="C361" s="72" t="s">
        <v>265</v>
      </c>
      <c r="D361" s="72" t="s">
        <v>1255</v>
      </c>
      <c r="E361" s="73" t="s">
        <v>722</v>
      </c>
      <c r="F361" s="72" t="s">
        <v>723</v>
      </c>
      <c r="G361" s="74" t="n">
        <v>318661</v>
      </c>
      <c r="H361" s="75" t="s">
        <v>1328</v>
      </c>
      <c r="I361" s="73" t="s">
        <v>254</v>
      </c>
    </row>
    <row r="362" customFormat="false" ht="15" hidden="false" customHeight="false" outlineLevel="0" collapsed="false">
      <c r="A362" s="72" t="n">
        <v>358</v>
      </c>
      <c r="B362" s="72" t="s">
        <v>1329</v>
      </c>
      <c r="C362" s="72" t="s">
        <v>265</v>
      </c>
      <c r="D362" s="72" t="s">
        <v>1255</v>
      </c>
      <c r="E362" s="73" t="s">
        <v>722</v>
      </c>
      <c r="F362" s="72" t="s">
        <v>723</v>
      </c>
      <c r="G362" s="74" t="n">
        <v>40115</v>
      </c>
      <c r="H362" s="75" t="s">
        <v>1330</v>
      </c>
      <c r="I362" s="73" t="s">
        <v>254</v>
      </c>
    </row>
    <row r="363" customFormat="false" ht="15" hidden="false" customHeight="false" outlineLevel="0" collapsed="false">
      <c r="A363" s="72" t="n">
        <v>359</v>
      </c>
      <c r="B363" s="72" t="s">
        <v>1331</v>
      </c>
      <c r="C363" s="72" t="s">
        <v>265</v>
      </c>
      <c r="D363" s="72" t="s">
        <v>1255</v>
      </c>
      <c r="E363" s="73" t="s">
        <v>722</v>
      </c>
      <c r="F363" s="72" t="s">
        <v>723</v>
      </c>
      <c r="G363" s="74" t="n">
        <v>322271</v>
      </c>
      <c r="H363" s="75" t="s">
        <v>1332</v>
      </c>
      <c r="I363" s="73" t="s">
        <v>254</v>
      </c>
    </row>
    <row r="364" customFormat="false" ht="15" hidden="false" customHeight="false" outlineLevel="0" collapsed="false">
      <c r="A364" s="72" t="n">
        <v>360</v>
      </c>
      <c r="B364" s="72" t="s">
        <v>1333</v>
      </c>
      <c r="C364" s="72" t="s">
        <v>265</v>
      </c>
      <c r="D364" s="72" t="s">
        <v>1255</v>
      </c>
      <c r="E364" s="73" t="s">
        <v>722</v>
      </c>
      <c r="F364" s="72" t="s">
        <v>723</v>
      </c>
      <c r="G364" s="74" t="n">
        <v>227048</v>
      </c>
      <c r="H364" s="75" t="s">
        <v>1334</v>
      </c>
      <c r="I364" s="73" t="s">
        <v>254</v>
      </c>
    </row>
    <row r="365" customFormat="false" ht="15" hidden="false" customHeight="false" outlineLevel="0" collapsed="false">
      <c r="A365" s="72" t="n">
        <v>361</v>
      </c>
      <c r="B365" s="72" t="s">
        <v>1335</v>
      </c>
      <c r="C365" s="72" t="s">
        <v>265</v>
      </c>
      <c r="D365" s="72" t="s">
        <v>1255</v>
      </c>
      <c r="E365" s="73" t="s">
        <v>722</v>
      </c>
      <c r="F365" s="72" t="s">
        <v>723</v>
      </c>
      <c r="G365" s="74" t="n">
        <v>110027</v>
      </c>
      <c r="H365" s="75" t="s">
        <v>1336</v>
      </c>
      <c r="I365" s="73" t="s">
        <v>254</v>
      </c>
    </row>
    <row r="366" customFormat="false" ht="15" hidden="false" customHeight="false" outlineLevel="0" collapsed="false">
      <c r="A366" s="72" t="n">
        <v>362</v>
      </c>
      <c r="B366" s="72" t="s">
        <v>1337</v>
      </c>
      <c r="C366" s="72" t="s">
        <v>265</v>
      </c>
      <c r="D366" s="72" t="s">
        <v>1255</v>
      </c>
      <c r="E366" s="73" t="s">
        <v>722</v>
      </c>
      <c r="F366" s="72" t="s">
        <v>723</v>
      </c>
      <c r="G366" s="74" t="n">
        <v>24699</v>
      </c>
      <c r="H366" s="75" t="s">
        <v>1338</v>
      </c>
      <c r="I366" s="73" t="s">
        <v>254</v>
      </c>
    </row>
    <row r="367" customFormat="false" ht="15" hidden="false" customHeight="false" outlineLevel="0" collapsed="false">
      <c r="A367" s="72" t="n">
        <v>363</v>
      </c>
      <c r="B367" s="72" t="s">
        <v>1339</v>
      </c>
      <c r="C367" s="72" t="s">
        <v>265</v>
      </c>
      <c r="D367" s="72" t="s">
        <v>1255</v>
      </c>
      <c r="E367" s="73" t="s">
        <v>722</v>
      </c>
      <c r="F367" s="72" t="s">
        <v>723</v>
      </c>
      <c r="G367" s="74" t="n">
        <v>197599</v>
      </c>
      <c r="H367" s="75" t="s">
        <v>1340</v>
      </c>
      <c r="I367" s="73" t="s">
        <v>254</v>
      </c>
    </row>
    <row r="368" customFormat="false" ht="15" hidden="false" customHeight="false" outlineLevel="0" collapsed="false">
      <c r="A368" s="72" t="n">
        <v>364</v>
      </c>
      <c r="B368" s="72" t="s">
        <v>1341</v>
      </c>
      <c r="C368" s="72" t="s">
        <v>265</v>
      </c>
      <c r="D368" s="72" t="s">
        <v>1255</v>
      </c>
      <c r="E368" s="73" t="s">
        <v>722</v>
      </c>
      <c r="F368" s="72" t="s">
        <v>723</v>
      </c>
      <c r="G368" s="74" t="n">
        <v>206583</v>
      </c>
      <c r="H368" s="75" t="s">
        <v>1342</v>
      </c>
      <c r="I368" s="73" t="s">
        <v>254</v>
      </c>
    </row>
    <row r="369" customFormat="false" ht="15" hidden="false" customHeight="false" outlineLevel="0" collapsed="false">
      <c r="A369" s="72" t="n">
        <v>365</v>
      </c>
      <c r="B369" s="72" t="s">
        <v>1343</v>
      </c>
      <c r="C369" s="72" t="s">
        <v>265</v>
      </c>
      <c r="D369" s="72" t="s">
        <v>1255</v>
      </c>
      <c r="E369" s="73" t="s">
        <v>722</v>
      </c>
      <c r="F369" s="72" t="s">
        <v>723</v>
      </c>
      <c r="G369" s="74" t="n">
        <v>176437</v>
      </c>
      <c r="H369" s="75" t="s">
        <v>1344</v>
      </c>
      <c r="I369" s="73" t="s">
        <v>254</v>
      </c>
    </row>
    <row r="370" customFormat="false" ht="15" hidden="false" customHeight="false" outlineLevel="0" collapsed="false">
      <c r="A370" s="72" t="n">
        <v>366</v>
      </c>
      <c r="B370" s="72" t="s">
        <v>1345</v>
      </c>
      <c r="C370" s="72" t="s">
        <v>265</v>
      </c>
      <c r="D370" s="72" t="s">
        <v>1255</v>
      </c>
      <c r="E370" s="73" t="s">
        <v>722</v>
      </c>
      <c r="F370" s="72" t="s">
        <v>723</v>
      </c>
      <c r="G370" s="74" t="n">
        <v>235372</v>
      </c>
      <c r="H370" s="75" t="s">
        <v>1346</v>
      </c>
      <c r="I370" s="73" t="s">
        <v>254</v>
      </c>
    </row>
    <row r="371" customFormat="false" ht="15" hidden="false" customHeight="false" outlineLevel="0" collapsed="false">
      <c r="A371" s="72" t="n">
        <v>367</v>
      </c>
      <c r="B371" s="72" t="s">
        <v>1347</v>
      </c>
      <c r="C371" s="72" t="s">
        <v>265</v>
      </c>
      <c r="D371" s="72" t="s">
        <v>1255</v>
      </c>
      <c r="E371" s="73" t="s">
        <v>722</v>
      </c>
      <c r="F371" s="72" t="s">
        <v>723</v>
      </c>
      <c r="G371" s="74" t="n">
        <v>282731</v>
      </c>
      <c r="H371" s="75" t="s">
        <v>1348</v>
      </c>
      <c r="I371" s="73" t="s">
        <v>254</v>
      </c>
    </row>
    <row r="372" customFormat="false" ht="15" hidden="false" customHeight="false" outlineLevel="0" collapsed="false">
      <c r="A372" s="72" t="n">
        <v>368</v>
      </c>
      <c r="B372" s="72" t="s">
        <v>1349</v>
      </c>
      <c r="C372" s="72" t="s">
        <v>265</v>
      </c>
      <c r="D372" s="72" t="s">
        <v>1255</v>
      </c>
      <c r="E372" s="73" t="s">
        <v>722</v>
      </c>
      <c r="F372" s="72" t="s">
        <v>723</v>
      </c>
      <c r="G372" s="74" t="n">
        <v>246418</v>
      </c>
      <c r="H372" s="75" t="s">
        <v>1350</v>
      </c>
      <c r="I372" s="73" t="s">
        <v>254</v>
      </c>
    </row>
    <row r="373" customFormat="false" ht="15" hidden="false" customHeight="false" outlineLevel="0" collapsed="false">
      <c r="A373" s="72" t="n">
        <v>369</v>
      </c>
      <c r="B373" s="72" t="s">
        <v>1351</v>
      </c>
      <c r="C373" s="72" t="s">
        <v>265</v>
      </c>
      <c r="D373" s="72" t="s">
        <v>1255</v>
      </c>
      <c r="E373" s="73" t="s">
        <v>722</v>
      </c>
      <c r="F373" s="72" t="s">
        <v>723</v>
      </c>
      <c r="G373" s="74" t="n">
        <v>33937</v>
      </c>
      <c r="H373" s="75" t="s">
        <v>1352</v>
      </c>
      <c r="I373" s="73" t="s">
        <v>254</v>
      </c>
    </row>
    <row r="374" customFormat="false" ht="15" hidden="false" customHeight="false" outlineLevel="0" collapsed="false">
      <c r="A374" s="72" t="n">
        <v>370</v>
      </c>
      <c r="B374" s="72" t="s">
        <v>1353</v>
      </c>
      <c r="C374" s="72" t="s">
        <v>265</v>
      </c>
      <c r="D374" s="72" t="s">
        <v>1255</v>
      </c>
      <c r="E374" s="73" t="s">
        <v>722</v>
      </c>
      <c r="F374" s="72" t="s">
        <v>723</v>
      </c>
      <c r="G374" s="74" t="n">
        <v>253916</v>
      </c>
      <c r="H374" s="75" t="s">
        <v>1354</v>
      </c>
      <c r="I374" s="73" t="s">
        <v>254</v>
      </c>
    </row>
    <row r="375" customFormat="false" ht="15" hidden="false" customHeight="false" outlineLevel="0" collapsed="false">
      <c r="A375" s="72" t="n">
        <v>371</v>
      </c>
      <c r="B375" s="72" t="s">
        <v>1355</v>
      </c>
      <c r="C375" s="72" t="s">
        <v>265</v>
      </c>
      <c r="D375" s="72" t="s">
        <v>1255</v>
      </c>
      <c r="E375" s="73" t="s">
        <v>722</v>
      </c>
      <c r="F375" s="72" t="s">
        <v>723</v>
      </c>
      <c r="G375" s="74" t="n">
        <v>183616</v>
      </c>
      <c r="H375" s="75" t="s">
        <v>1356</v>
      </c>
      <c r="I375" s="73" t="s">
        <v>254</v>
      </c>
    </row>
    <row r="376" customFormat="false" ht="15" hidden="false" customHeight="false" outlineLevel="0" collapsed="false">
      <c r="A376" s="72" t="n">
        <v>372</v>
      </c>
      <c r="B376" s="72" t="s">
        <v>1357</v>
      </c>
      <c r="C376" s="72" t="s">
        <v>265</v>
      </c>
      <c r="D376" s="72" t="s">
        <v>1255</v>
      </c>
      <c r="E376" s="73" t="s">
        <v>722</v>
      </c>
      <c r="F376" s="72" t="s">
        <v>723</v>
      </c>
      <c r="G376" s="74" t="n">
        <v>17776</v>
      </c>
      <c r="H376" s="75" t="s">
        <v>1358</v>
      </c>
      <c r="I376" s="73" t="s">
        <v>254</v>
      </c>
    </row>
    <row r="377" customFormat="false" ht="15" hidden="false" customHeight="false" outlineLevel="0" collapsed="false">
      <c r="A377" s="72" t="n">
        <v>373</v>
      </c>
      <c r="B377" s="72" t="s">
        <v>1359</v>
      </c>
      <c r="C377" s="72" t="s">
        <v>265</v>
      </c>
      <c r="D377" s="72" t="s">
        <v>1255</v>
      </c>
      <c r="E377" s="73" t="s">
        <v>722</v>
      </c>
      <c r="F377" s="72" t="s">
        <v>723</v>
      </c>
      <c r="G377" s="74" t="n">
        <v>19672</v>
      </c>
      <c r="H377" s="75" t="s">
        <v>1360</v>
      </c>
      <c r="I377" s="73" t="s">
        <v>254</v>
      </c>
    </row>
    <row r="378" customFormat="false" ht="15" hidden="false" customHeight="false" outlineLevel="0" collapsed="false">
      <c r="A378" s="72" t="n">
        <v>374</v>
      </c>
      <c r="B378" s="72" t="s">
        <v>1361</v>
      </c>
      <c r="C378" s="72" t="s">
        <v>265</v>
      </c>
      <c r="D378" s="72" t="s">
        <v>1255</v>
      </c>
      <c r="E378" s="73" t="s">
        <v>722</v>
      </c>
      <c r="F378" s="72" t="s">
        <v>723</v>
      </c>
      <c r="G378" s="74" t="n">
        <v>48487</v>
      </c>
      <c r="H378" s="75" t="s">
        <v>1362</v>
      </c>
      <c r="I378" s="73" t="s">
        <v>254</v>
      </c>
    </row>
    <row r="379" customFormat="false" ht="15" hidden="false" customHeight="false" outlineLevel="0" collapsed="false">
      <c r="A379" s="72" t="n">
        <v>375</v>
      </c>
      <c r="B379" s="72" t="s">
        <v>1363</v>
      </c>
      <c r="C379" s="72" t="s">
        <v>265</v>
      </c>
      <c r="D379" s="72" t="s">
        <v>1255</v>
      </c>
      <c r="E379" s="73" t="s">
        <v>722</v>
      </c>
      <c r="F379" s="72" t="s">
        <v>723</v>
      </c>
      <c r="G379" s="74" t="n">
        <v>118092</v>
      </c>
      <c r="H379" s="75" t="s">
        <v>1364</v>
      </c>
      <c r="I379" s="73" t="s">
        <v>254</v>
      </c>
    </row>
    <row r="380" customFormat="false" ht="15" hidden="false" customHeight="false" outlineLevel="0" collapsed="false">
      <c r="A380" s="72" t="n">
        <v>376</v>
      </c>
      <c r="B380" s="72" t="s">
        <v>1365</v>
      </c>
      <c r="C380" s="72" t="s">
        <v>265</v>
      </c>
      <c r="D380" s="72" t="s">
        <v>1255</v>
      </c>
      <c r="E380" s="73" t="s">
        <v>722</v>
      </c>
      <c r="F380" s="72" t="s">
        <v>723</v>
      </c>
      <c r="G380" s="74" t="n">
        <v>64423</v>
      </c>
      <c r="H380" s="75" t="s">
        <v>1366</v>
      </c>
      <c r="I380" s="73" t="s">
        <v>254</v>
      </c>
    </row>
    <row r="381" customFormat="false" ht="15" hidden="false" customHeight="false" outlineLevel="0" collapsed="false">
      <c r="A381" s="72" t="n">
        <v>377</v>
      </c>
      <c r="B381" s="72" t="s">
        <v>1367</v>
      </c>
      <c r="C381" s="72" t="s">
        <v>265</v>
      </c>
      <c r="D381" s="72" t="s">
        <v>1255</v>
      </c>
      <c r="E381" s="73" t="s">
        <v>722</v>
      </c>
      <c r="F381" s="72" t="s">
        <v>723</v>
      </c>
      <c r="G381" s="74" t="n">
        <v>126257</v>
      </c>
      <c r="H381" s="75" t="s">
        <v>1368</v>
      </c>
      <c r="I381" s="73" t="s">
        <v>254</v>
      </c>
    </row>
    <row r="382" customFormat="false" ht="15" hidden="false" customHeight="false" outlineLevel="0" collapsed="false">
      <c r="A382" s="72" t="n">
        <v>378</v>
      </c>
      <c r="B382" s="72" t="s">
        <v>1369</v>
      </c>
      <c r="C382" s="72" t="s">
        <v>265</v>
      </c>
      <c r="D382" s="72" t="s">
        <v>1255</v>
      </c>
      <c r="E382" s="73" t="s">
        <v>722</v>
      </c>
      <c r="F382" s="72" t="s">
        <v>723</v>
      </c>
      <c r="G382" s="74" t="n">
        <v>139310</v>
      </c>
      <c r="H382" s="75" t="s">
        <v>1370</v>
      </c>
      <c r="I382" s="73" t="s">
        <v>254</v>
      </c>
    </row>
    <row r="383" customFormat="false" ht="15" hidden="false" customHeight="false" outlineLevel="0" collapsed="false">
      <c r="A383" s="72" t="n">
        <v>379</v>
      </c>
      <c r="B383" s="72" t="s">
        <v>1371</v>
      </c>
      <c r="C383" s="72" t="s">
        <v>265</v>
      </c>
      <c r="D383" s="72" t="s">
        <v>1255</v>
      </c>
      <c r="E383" s="73" t="s">
        <v>722</v>
      </c>
      <c r="F383" s="72" t="s">
        <v>723</v>
      </c>
      <c r="G383" s="74" t="n">
        <v>49886</v>
      </c>
      <c r="H383" s="75" t="s">
        <v>1372</v>
      </c>
      <c r="I383" s="73" t="s">
        <v>254</v>
      </c>
    </row>
    <row r="384" customFormat="false" ht="15" hidden="false" customHeight="false" outlineLevel="0" collapsed="false">
      <c r="A384" s="72" t="n">
        <v>380</v>
      </c>
      <c r="B384" s="72" t="s">
        <v>1373</v>
      </c>
      <c r="C384" s="72" t="s">
        <v>265</v>
      </c>
      <c r="D384" s="72" t="s">
        <v>1255</v>
      </c>
      <c r="E384" s="73" t="s">
        <v>722</v>
      </c>
      <c r="F384" s="72" t="s">
        <v>723</v>
      </c>
      <c r="G384" s="74" t="n">
        <v>94840</v>
      </c>
      <c r="H384" s="75" t="s">
        <v>1374</v>
      </c>
      <c r="I384" s="73" t="s">
        <v>254</v>
      </c>
    </row>
    <row r="385" customFormat="false" ht="15" hidden="false" customHeight="false" outlineLevel="0" collapsed="false">
      <c r="A385" s="72" t="n">
        <v>381</v>
      </c>
      <c r="B385" s="72" t="s">
        <v>1375</v>
      </c>
      <c r="C385" s="72" t="s">
        <v>265</v>
      </c>
      <c r="D385" s="72" t="s">
        <v>1255</v>
      </c>
      <c r="E385" s="73" t="s">
        <v>722</v>
      </c>
      <c r="F385" s="72" t="s">
        <v>723</v>
      </c>
      <c r="G385" s="74" t="n">
        <v>269432</v>
      </c>
      <c r="H385" s="75" t="s">
        <v>1376</v>
      </c>
      <c r="I385" s="73" t="s">
        <v>254</v>
      </c>
    </row>
    <row r="386" customFormat="false" ht="15" hidden="false" customHeight="false" outlineLevel="0" collapsed="false">
      <c r="A386" s="72" t="n">
        <v>382</v>
      </c>
      <c r="B386" s="72" t="s">
        <v>1377</v>
      </c>
      <c r="C386" s="72" t="s">
        <v>265</v>
      </c>
      <c r="D386" s="72" t="s">
        <v>1255</v>
      </c>
      <c r="E386" s="73" t="s">
        <v>722</v>
      </c>
      <c r="F386" s="72" t="s">
        <v>723</v>
      </c>
      <c r="G386" s="74" t="n">
        <v>62674</v>
      </c>
      <c r="H386" s="75" t="s">
        <v>1378</v>
      </c>
      <c r="I386" s="73" t="s">
        <v>254</v>
      </c>
    </row>
    <row r="387" customFormat="false" ht="15" hidden="false" customHeight="false" outlineLevel="0" collapsed="false">
      <c r="A387" s="72" t="n">
        <v>383</v>
      </c>
      <c r="B387" s="72" t="s">
        <v>1379</v>
      </c>
      <c r="C387" s="72" t="s">
        <v>265</v>
      </c>
      <c r="D387" s="72" t="s">
        <v>1255</v>
      </c>
      <c r="E387" s="73" t="s">
        <v>722</v>
      </c>
      <c r="F387" s="72" t="s">
        <v>723</v>
      </c>
      <c r="G387" s="74" t="n">
        <v>212781</v>
      </c>
      <c r="H387" s="75" t="s">
        <v>1380</v>
      </c>
      <c r="I387" s="73" t="s">
        <v>254</v>
      </c>
    </row>
    <row r="388" customFormat="false" ht="15" hidden="false" customHeight="false" outlineLevel="0" collapsed="false">
      <c r="A388" s="72" t="n">
        <v>384</v>
      </c>
      <c r="B388" s="72" t="s">
        <v>1381</v>
      </c>
      <c r="C388" s="72" t="s">
        <v>265</v>
      </c>
      <c r="D388" s="72" t="s">
        <v>1255</v>
      </c>
      <c r="E388" s="73" t="s">
        <v>722</v>
      </c>
      <c r="F388" s="72" t="s">
        <v>723</v>
      </c>
      <c r="G388" s="74" t="n">
        <v>27076</v>
      </c>
      <c r="H388" s="75" t="s">
        <v>1382</v>
      </c>
      <c r="I388" s="73" t="s">
        <v>254</v>
      </c>
    </row>
    <row r="389" customFormat="false" ht="15" hidden="false" customHeight="false" outlineLevel="0" collapsed="false">
      <c r="A389" s="72" t="n">
        <v>385</v>
      </c>
      <c r="B389" s="72" t="s">
        <v>1383</v>
      </c>
      <c r="C389" s="72" t="s">
        <v>265</v>
      </c>
      <c r="D389" s="72" t="s">
        <v>1255</v>
      </c>
      <c r="E389" s="73" t="s">
        <v>722</v>
      </c>
      <c r="F389" s="72" t="s">
        <v>723</v>
      </c>
      <c r="G389" s="74" t="n">
        <v>19837</v>
      </c>
      <c r="H389" s="75" t="s">
        <v>1384</v>
      </c>
      <c r="I389" s="73" t="s">
        <v>254</v>
      </c>
    </row>
    <row r="390" customFormat="false" ht="15" hidden="false" customHeight="false" outlineLevel="0" collapsed="false">
      <c r="A390" s="72" t="n">
        <v>386</v>
      </c>
      <c r="B390" s="72" t="s">
        <v>1385</v>
      </c>
      <c r="C390" s="72" t="s">
        <v>265</v>
      </c>
      <c r="D390" s="72" t="s">
        <v>1255</v>
      </c>
      <c r="E390" s="73" t="s">
        <v>722</v>
      </c>
      <c r="F390" s="72" t="s">
        <v>723</v>
      </c>
      <c r="G390" s="74" t="n">
        <v>97417</v>
      </c>
      <c r="H390" s="75" t="s">
        <v>1386</v>
      </c>
      <c r="I390" s="73" t="s">
        <v>254</v>
      </c>
    </row>
    <row r="391" customFormat="false" ht="15" hidden="false" customHeight="false" outlineLevel="0" collapsed="false">
      <c r="A391" s="72" t="n">
        <v>387</v>
      </c>
      <c r="B391" s="72" t="s">
        <v>1387</v>
      </c>
      <c r="C391" s="72" t="s">
        <v>265</v>
      </c>
      <c r="D391" s="72" t="s">
        <v>1255</v>
      </c>
      <c r="E391" s="73" t="s">
        <v>722</v>
      </c>
      <c r="F391" s="72" t="s">
        <v>723</v>
      </c>
      <c r="G391" s="74" t="n">
        <v>198263</v>
      </c>
      <c r="H391" s="75" t="s">
        <v>1388</v>
      </c>
      <c r="I391" s="73" t="s">
        <v>254</v>
      </c>
    </row>
    <row r="392" customFormat="false" ht="15" hidden="false" customHeight="false" outlineLevel="0" collapsed="false">
      <c r="A392" s="72" t="n">
        <v>388</v>
      </c>
      <c r="B392" s="72" t="s">
        <v>1389</v>
      </c>
      <c r="C392" s="72" t="s">
        <v>265</v>
      </c>
      <c r="D392" s="72" t="s">
        <v>1255</v>
      </c>
      <c r="E392" s="73" t="s">
        <v>722</v>
      </c>
      <c r="F392" s="72" t="s">
        <v>723</v>
      </c>
      <c r="G392" s="74" t="n">
        <v>221892</v>
      </c>
      <c r="H392" s="75" t="s">
        <v>1390</v>
      </c>
      <c r="I392" s="73" t="s">
        <v>254</v>
      </c>
    </row>
    <row r="393" customFormat="false" ht="15" hidden="false" customHeight="false" outlineLevel="0" collapsed="false">
      <c r="A393" s="72" t="n">
        <v>389</v>
      </c>
      <c r="B393" s="72" t="s">
        <v>1391</v>
      </c>
      <c r="C393" s="72" t="s">
        <v>265</v>
      </c>
      <c r="D393" s="72" t="s">
        <v>1255</v>
      </c>
      <c r="E393" s="73" t="s">
        <v>722</v>
      </c>
      <c r="F393" s="72" t="s">
        <v>723</v>
      </c>
      <c r="G393" s="74" t="n">
        <v>47160</v>
      </c>
      <c r="H393" s="75" t="s">
        <v>1392</v>
      </c>
      <c r="I393" s="73" t="s">
        <v>254</v>
      </c>
    </row>
    <row r="394" customFormat="false" ht="15" hidden="false" customHeight="false" outlineLevel="0" collapsed="false">
      <c r="A394" s="72" t="n">
        <v>390</v>
      </c>
      <c r="B394" s="72" t="s">
        <v>1393</v>
      </c>
      <c r="C394" s="72" t="s">
        <v>265</v>
      </c>
      <c r="D394" s="72" t="s">
        <v>1255</v>
      </c>
      <c r="E394" s="73" t="s">
        <v>722</v>
      </c>
      <c r="F394" s="72" t="s">
        <v>723</v>
      </c>
      <c r="G394" s="74" t="n">
        <v>274987</v>
      </c>
      <c r="H394" s="75" t="s">
        <v>1394</v>
      </c>
      <c r="I394" s="73" t="s">
        <v>254</v>
      </c>
    </row>
    <row r="395" customFormat="false" ht="15" hidden="false" customHeight="false" outlineLevel="0" collapsed="false">
      <c r="A395" s="72" t="n">
        <v>391</v>
      </c>
      <c r="B395" s="72" t="s">
        <v>1395</v>
      </c>
      <c r="C395" s="72" t="s">
        <v>265</v>
      </c>
      <c r="D395" s="72" t="s">
        <v>1255</v>
      </c>
      <c r="E395" s="73" t="s">
        <v>722</v>
      </c>
      <c r="F395" s="72" t="s">
        <v>723</v>
      </c>
      <c r="G395" s="74" t="n">
        <v>128611</v>
      </c>
      <c r="H395" s="75" t="s">
        <v>1396</v>
      </c>
      <c r="I395" s="73" t="s">
        <v>254</v>
      </c>
    </row>
    <row r="396" customFormat="false" ht="15" hidden="false" customHeight="false" outlineLevel="0" collapsed="false">
      <c r="A396" s="72" t="n">
        <v>392</v>
      </c>
      <c r="B396" s="72" t="s">
        <v>1397</v>
      </c>
      <c r="C396" s="72" t="s">
        <v>265</v>
      </c>
      <c r="D396" s="72" t="s">
        <v>1255</v>
      </c>
      <c r="E396" s="73" t="s">
        <v>722</v>
      </c>
      <c r="F396" s="72" t="s">
        <v>723</v>
      </c>
      <c r="G396" s="74" t="n">
        <v>114799</v>
      </c>
      <c r="H396" s="75" t="s">
        <v>1398</v>
      </c>
      <c r="I396" s="73" t="s">
        <v>254</v>
      </c>
    </row>
    <row r="397" customFormat="false" ht="15" hidden="false" customHeight="false" outlineLevel="0" collapsed="false">
      <c r="A397" s="72" t="n">
        <v>393</v>
      </c>
      <c r="B397" s="72" t="s">
        <v>1399</v>
      </c>
      <c r="C397" s="72" t="s">
        <v>265</v>
      </c>
      <c r="D397" s="72" t="s">
        <v>1255</v>
      </c>
      <c r="E397" s="73" t="s">
        <v>722</v>
      </c>
      <c r="F397" s="72" t="s">
        <v>723</v>
      </c>
      <c r="G397" s="74" t="n">
        <v>168785</v>
      </c>
      <c r="H397" s="75" t="s">
        <v>1400</v>
      </c>
      <c r="I397" s="73" t="s">
        <v>254</v>
      </c>
    </row>
    <row r="398" customFormat="false" ht="15" hidden="false" customHeight="false" outlineLevel="0" collapsed="false">
      <c r="A398" s="72" t="n">
        <v>394</v>
      </c>
      <c r="B398" s="72" t="s">
        <v>1401</v>
      </c>
      <c r="C398" s="72" t="s">
        <v>265</v>
      </c>
      <c r="D398" s="72" t="s">
        <v>1255</v>
      </c>
      <c r="E398" s="73" t="s">
        <v>722</v>
      </c>
      <c r="F398" s="72" t="s">
        <v>723</v>
      </c>
      <c r="G398" s="74" t="n">
        <v>168785</v>
      </c>
      <c r="H398" s="75" t="s">
        <v>1400</v>
      </c>
      <c r="I398" s="73" t="s">
        <v>254</v>
      </c>
    </row>
    <row r="399" customFormat="false" ht="15" hidden="false" customHeight="false" outlineLevel="0" collapsed="false">
      <c r="A399" s="72" t="n">
        <v>395</v>
      </c>
      <c r="B399" s="72" t="s">
        <v>1402</v>
      </c>
      <c r="C399" s="72" t="s">
        <v>265</v>
      </c>
      <c r="D399" s="72" t="s">
        <v>1255</v>
      </c>
      <c r="E399" s="73" t="s">
        <v>722</v>
      </c>
      <c r="F399" s="72" t="s">
        <v>723</v>
      </c>
      <c r="G399" s="74" t="n">
        <v>59853</v>
      </c>
      <c r="H399" s="75" t="s">
        <v>1403</v>
      </c>
      <c r="I399" s="73" t="s">
        <v>254</v>
      </c>
    </row>
    <row r="400" customFormat="false" ht="15" hidden="false" customHeight="false" outlineLevel="0" collapsed="false">
      <c r="A400" s="72" t="n">
        <v>396</v>
      </c>
      <c r="B400" s="72" t="s">
        <v>1404</v>
      </c>
      <c r="C400" s="72" t="s">
        <v>265</v>
      </c>
      <c r="D400" s="72" t="s">
        <v>1255</v>
      </c>
      <c r="E400" s="73" t="s">
        <v>722</v>
      </c>
      <c r="F400" s="72" t="s">
        <v>723</v>
      </c>
      <c r="G400" s="74" t="n">
        <v>270416</v>
      </c>
      <c r="H400" s="75" t="s">
        <v>1405</v>
      </c>
      <c r="I400" s="73" t="s">
        <v>254</v>
      </c>
    </row>
    <row r="401" customFormat="false" ht="15" hidden="false" customHeight="false" outlineLevel="0" collapsed="false">
      <c r="A401" s="72" t="n">
        <v>397</v>
      </c>
      <c r="B401" s="72" t="s">
        <v>1406</v>
      </c>
      <c r="C401" s="72" t="s">
        <v>265</v>
      </c>
      <c r="D401" s="72" t="s">
        <v>1255</v>
      </c>
      <c r="E401" s="73" t="s">
        <v>722</v>
      </c>
      <c r="F401" s="72" t="s">
        <v>723</v>
      </c>
      <c r="G401" s="74" t="n">
        <v>22342</v>
      </c>
      <c r="H401" s="75" t="s">
        <v>1407</v>
      </c>
      <c r="I401" s="73" t="s">
        <v>254</v>
      </c>
    </row>
    <row r="402" customFormat="false" ht="15" hidden="false" customHeight="false" outlineLevel="0" collapsed="false">
      <c r="A402" s="72" t="n">
        <v>398</v>
      </c>
      <c r="B402" s="72" t="s">
        <v>1408</v>
      </c>
      <c r="C402" s="72" t="s">
        <v>265</v>
      </c>
      <c r="D402" s="72" t="s">
        <v>1255</v>
      </c>
      <c r="E402" s="73" t="s">
        <v>722</v>
      </c>
      <c r="F402" s="72" t="s">
        <v>723</v>
      </c>
      <c r="G402" s="74" t="n">
        <v>146628</v>
      </c>
      <c r="H402" s="75" t="s">
        <v>1409</v>
      </c>
      <c r="I402" s="73" t="s">
        <v>254</v>
      </c>
    </row>
    <row r="403" customFormat="false" ht="15" hidden="false" customHeight="false" outlineLevel="0" collapsed="false">
      <c r="A403" s="72" t="n">
        <v>399</v>
      </c>
      <c r="B403" s="72" t="s">
        <v>1410</v>
      </c>
      <c r="C403" s="72" t="s">
        <v>265</v>
      </c>
      <c r="D403" s="72" t="s">
        <v>1255</v>
      </c>
      <c r="E403" s="73" t="s">
        <v>722</v>
      </c>
      <c r="F403" s="72" t="s">
        <v>723</v>
      </c>
      <c r="G403" s="74" t="n">
        <v>175526</v>
      </c>
      <c r="H403" s="75" t="s">
        <v>1411</v>
      </c>
      <c r="I403" s="73" t="s">
        <v>254</v>
      </c>
    </row>
    <row r="404" customFormat="false" ht="15" hidden="false" customHeight="false" outlineLevel="0" collapsed="false">
      <c r="A404" s="72" t="n">
        <v>400</v>
      </c>
      <c r="B404" s="72" t="s">
        <v>1412</v>
      </c>
      <c r="C404" s="72" t="s">
        <v>265</v>
      </c>
      <c r="D404" s="72" t="s">
        <v>1255</v>
      </c>
      <c r="E404" s="73" t="s">
        <v>722</v>
      </c>
      <c r="F404" s="72" t="s">
        <v>723</v>
      </c>
      <c r="G404" s="74" t="n">
        <v>175526</v>
      </c>
      <c r="H404" s="75" t="s">
        <v>1411</v>
      </c>
      <c r="I404" s="73" t="s">
        <v>254</v>
      </c>
    </row>
    <row r="405" customFormat="false" ht="15" hidden="false" customHeight="false" outlineLevel="0" collapsed="false">
      <c r="A405" s="72" t="n">
        <v>401</v>
      </c>
      <c r="B405" s="72" t="s">
        <v>1413</v>
      </c>
      <c r="C405" s="72" t="s">
        <v>265</v>
      </c>
      <c r="D405" s="72" t="s">
        <v>1255</v>
      </c>
      <c r="E405" s="73" t="s">
        <v>722</v>
      </c>
      <c r="F405" s="72" t="s">
        <v>723</v>
      </c>
      <c r="G405" s="74" t="n">
        <v>58181</v>
      </c>
      <c r="H405" s="75" t="s">
        <v>1414</v>
      </c>
      <c r="I405" s="73" t="s">
        <v>254</v>
      </c>
    </row>
    <row r="406" customFormat="false" ht="15" hidden="false" customHeight="false" outlineLevel="0" collapsed="false">
      <c r="A406" s="72" t="n">
        <v>402</v>
      </c>
      <c r="B406" s="72" t="s">
        <v>1415</v>
      </c>
      <c r="C406" s="72" t="s">
        <v>265</v>
      </c>
      <c r="D406" s="72" t="s">
        <v>1255</v>
      </c>
      <c r="E406" s="73" t="s">
        <v>722</v>
      </c>
      <c r="F406" s="72" t="s">
        <v>723</v>
      </c>
      <c r="G406" s="74" t="n">
        <v>260510</v>
      </c>
      <c r="H406" s="75" t="s">
        <v>1416</v>
      </c>
      <c r="I406" s="73" t="s">
        <v>254</v>
      </c>
    </row>
    <row r="407" customFormat="false" ht="15" hidden="false" customHeight="false" outlineLevel="0" collapsed="false">
      <c r="A407" s="72" t="n">
        <v>403</v>
      </c>
      <c r="B407" s="72" t="s">
        <v>1417</v>
      </c>
      <c r="C407" s="72" t="s">
        <v>265</v>
      </c>
      <c r="D407" s="72" t="s">
        <v>1255</v>
      </c>
      <c r="E407" s="73" t="s">
        <v>722</v>
      </c>
      <c r="F407" s="72" t="s">
        <v>723</v>
      </c>
      <c r="G407" s="74" t="n">
        <v>134931</v>
      </c>
      <c r="H407" s="75" t="s">
        <v>1418</v>
      </c>
      <c r="I407" s="73" t="s">
        <v>254</v>
      </c>
    </row>
    <row r="408" customFormat="false" ht="15" hidden="false" customHeight="false" outlineLevel="0" collapsed="false">
      <c r="A408" s="72" t="n">
        <v>404</v>
      </c>
      <c r="B408" s="72" t="s">
        <v>1419</v>
      </c>
      <c r="C408" s="72" t="s">
        <v>265</v>
      </c>
      <c r="D408" s="72" t="s">
        <v>1255</v>
      </c>
      <c r="E408" s="73" t="s">
        <v>722</v>
      </c>
      <c r="F408" s="72" t="s">
        <v>723</v>
      </c>
      <c r="G408" s="74" t="n">
        <v>51373</v>
      </c>
      <c r="H408" s="75" t="s">
        <v>1420</v>
      </c>
      <c r="I408" s="73" t="s">
        <v>254</v>
      </c>
    </row>
    <row r="409" customFormat="false" ht="15" hidden="false" customHeight="false" outlineLevel="0" collapsed="false">
      <c r="A409" s="72" t="n">
        <v>405</v>
      </c>
      <c r="B409" s="72" t="s">
        <v>1421</v>
      </c>
      <c r="C409" s="72" t="s">
        <v>265</v>
      </c>
      <c r="D409" s="72" t="s">
        <v>1255</v>
      </c>
      <c r="E409" s="73" t="s">
        <v>722</v>
      </c>
      <c r="F409" s="72" t="s">
        <v>723</v>
      </c>
      <c r="G409" s="74" t="n">
        <v>150984</v>
      </c>
      <c r="H409" s="75" t="s">
        <v>1422</v>
      </c>
      <c r="I409" s="73" t="s">
        <v>254</v>
      </c>
    </row>
    <row r="410" customFormat="false" ht="15" hidden="false" customHeight="false" outlineLevel="0" collapsed="false">
      <c r="A410" s="72" t="n">
        <v>406</v>
      </c>
      <c r="B410" s="72" t="s">
        <v>1423</v>
      </c>
      <c r="C410" s="72" t="s">
        <v>265</v>
      </c>
      <c r="D410" s="72" t="s">
        <v>1255</v>
      </c>
      <c r="E410" s="73" t="s">
        <v>722</v>
      </c>
      <c r="F410" s="72" t="s">
        <v>723</v>
      </c>
      <c r="G410" s="74" t="n">
        <v>158464</v>
      </c>
      <c r="H410" s="75" t="s">
        <v>1424</v>
      </c>
      <c r="I410" s="73" t="s">
        <v>254</v>
      </c>
    </row>
    <row r="411" customFormat="false" ht="15" hidden="false" customHeight="false" outlineLevel="0" collapsed="false">
      <c r="A411" s="72" t="n">
        <v>407</v>
      </c>
      <c r="B411" s="72" t="s">
        <v>1425</v>
      </c>
      <c r="C411" s="72" t="s">
        <v>265</v>
      </c>
      <c r="D411" s="72" t="s">
        <v>1255</v>
      </c>
      <c r="E411" s="73" t="s">
        <v>722</v>
      </c>
      <c r="F411" s="72" t="s">
        <v>723</v>
      </c>
      <c r="G411" s="74" t="n">
        <v>44390</v>
      </c>
      <c r="H411" s="75" t="s">
        <v>1426</v>
      </c>
      <c r="I411" s="73" t="s">
        <v>254</v>
      </c>
    </row>
    <row r="412" customFormat="false" ht="15" hidden="false" customHeight="false" outlineLevel="0" collapsed="false">
      <c r="A412" s="72" t="n">
        <v>408</v>
      </c>
      <c r="B412" s="72" t="s">
        <v>1427</v>
      </c>
      <c r="C412" s="72" t="s">
        <v>265</v>
      </c>
      <c r="D412" s="72" t="s">
        <v>1255</v>
      </c>
      <c r="E412" s="73" t="s">
        <v>722</v>
      </c>
      <c r="F412" s="72" t="s">
        <v>723</v>
      </c>
      <c r="G412" s="74" t="n">
        <v>54092</v>
      </c>
      <c r="H412" s="75" t="s">
        <v>1428</v>
      </c>
      <c r="I412" s="73" t="s">
        <v>254</v>
      </c>
    </row>
    <row r="413" customFormat="false" ht="15" hidden="false" customHeight="false" outlineLevel="0" collapsed="false">
      <c r="A413" s="72" t="n">
        <v>409</v>
      </c>
      <c r="B413" s="72" t="s">
        <v>1429</v>
      </c>
      <c r="C413" s="72" t="s">
        <v>265</v>
      </c>
      <c r="D413" s="72" t="s">
        <v>1255</v>
      </c>
      <c r="E413" s="73" t="s">
        <v>722</v>
      </c>
      <c r="F413" s="72" t="s">
        <v>723</v>
      </c>
      <c r="G413" s="74" t="n">
        <v>19220</v>
      </c>
      <c r="H413" s="75" t="s">
        <v>1430</v>
      </c>
      <c r="I413" s="73" t="s">
        <v>254</v>
      </c>
    </row>
    <row r="414" customFormat="false" ht="15" hidden="false" customHeight="false" outlineLevel="0" collapsed="false">
      <c r="A414" s="72" t="n">
        <v>410</v>
      </c>
      <c r="B414" s="72" t="s">
        <v>1431</v>
      </c>
      <c r="C414" s="72" t="s">
        <v>265</v>
      </c>
      <c r="D414" s="72" t="s">
        <v>1255</v>
      </c>
      <c r="E414" s="73" t="s">
        <v>722</v>
      </c>
      <c r="F414" s="72" t="s">
        <v>723</v>
      </c>
      <c r="G414" s="74" t="n">
        <v>75928</v>
      </c>
      <c r="H414" s="75" t="s">
        <v>1432</v>
      </c>
      <c r="I414" s="73" t="s">
        <v>254</v>
      </c>
    </row>
    <row r="415" customFormat="false" ht="15" hidden="false" customHeight="false" outlineLevel="0" collapsed="false">
      <c r="A415" s="72" t="n">
        <v>411</v>
      </c>
      <c r="B415" s="72" t="s">
        <v>1433</v>
      </c>
      <c r="C415" s="72" t="s">
        <v>265</v>
      </c>
      <c r="D415" s="72" t="s">
        <v>1255</v>
      </c>
      <c r="E415" s="73" t="s">
        <v>722</v>
      </c>
      <c r="F415" s="72" t="s">
        <v>723</v>
      </c>
      <c r="G415" s="74" t="n">
        <v>32049</v>
      </c>
      <c r="H415" s="75" t="s">
        <v>1434</v>
      </c>
      <c r="I415" s="73" t="s">
        <v>254</v>
      </c>
    </row>
    <row r="416" customFormat="false" ht="15" hidden="false" customHeight="false" outlineLevel="0" collapsed="false">
      <c r="A416" s="72" t="n">
        <v>412</v>
      </c>
      <c r="B416" s="72" t="s">
        <v>1435</v>
      </c>
      <c r="C416" s="72" t="s">
        <v>265</v>
      </c>
      <c r="D416" s="72" t="s">
        <v>1255</v>
      </c>
      <c r="E416" s="73" t="s">
        <v>722</v>
      </c>
      <c r="F416" s="72" t="s">
        <v>723</v>
      </c>
      <c r="G416" s="74" t="n">
        <v>34441</v>
      </c>
      <c r="H416" s="75" t="s">
        <v>1436</v>
      </c>
      <c r="I416" s="73" t="s">
        <v>254</v>
      </c>
    </row>
    <row r="417" customFormat="false" ht="15" hidden="false" customHeight="false" outlineLevel="0" collapsed="false">
      <c r="A417" s="72" t="n">
        <v>413</v>
      </c>
      <c r="B417" s="72" t="s">
        <v>1437</v>
      </c>
      <c r="C417" s="72" t="s">
        <v>265</v>
      </c>
      <c r="D417" s="72" t="s">
        <v>1255</v>
      </c>
      <c r="E417" s="73" t="s">
        <v>722</v>
      </c>
      <c r="F417" s="72" t="s">
        <v>723</v>
      </c>
      <c r="G417" s="74" t="n">
        <v>18040</v>
      </c>
      <c r="H417" s="75" t="s">
        <v>1438</v>
      </c>
      <c r="I417" s="73" t="s">
        <v>254</v>
      </c>
    </row>
    <row r="418" customFormat="false" ht="15" hidden="false" customHeight="false" outlineLevel="0" collapsed="false">
      <c r="A418" s="72" t="n">
        <v>414</v>
      </c>
      <c r="B418" s="72" t="s">
        <v>1439</v>
      </c>
      <c r="C418" s="72" t="s">
        <v>265</v>
      </c>
      <c r="D418" s="72" t="s">
        <v>1255</v>
      </c>
      <c r="E418" s="73" t="s">
        <v>722</v>
      </c>
      <c r="F418" s="72" t="s">
        <v>723</v>
      </c>
      <c r="G418" s="74" t="n">
        <v>70402</v>
      </c>
      <c r="H418" s="75" t="s">
        <v>1440</v>
      </c>
      <c r="I418" s="73" t="s">
        <v>254</v>
      </c>
    </row>
    <row r="419" customFormat="false" ht="15" hidden="false" customHeight="false" outlineLevel="0" collapsed="false">
      <c r="A419" s="72" t="n">
        <v>415</v>
      </c>
      <c r="B419" s="72" t="s">
        <v>1441</v>
      </c>
      <c r="C419" s="72" t="s">
        <v>265</v>
      </c>
      <c r="D419" s="72" t="s">
        <v>1255</v>
      </c>
      <c r="E419" s="73" t="s">
        <v>722</v>
      </c>
      <c r="F419" s="72" t="s">
        <v>723</v>
      </c>
      <c r="G419" s="74" t="n">
        <v>65459</v>
      </c>
      <c r="H419" s="75" t="s">
        <v>1442</v>
      </c>
      <c r="I419" s="73" t="s">
        <v>254</v>
      </c>
    </row>
    <row r="420" customFormat="false" ht="15" hidden="false" customHeight="false" outlineLevel="0" collapsed="false">
      <c r="A420" s="72" t="n">
        <v>416</v>
      </c>
      <c r="B420" s="72" t="s">
        <v>1443</v>
      </c>
      <c r="C420" s="72" t="s">
        <v>265</v>
      </c>
      <c r="D420" s="72" t="s">
        <v>1255</v>
      </c>
      <c r="E420" s="73" t="s">
        <v>722</v>
      </c>
      <c r="F420" s="72" t="s">
        <v>723</v>
      </c>
      <c r="G420" s="74" t="n">
        <v>20224</v>
      </c>
      <c r="H420" s="75" t="s">
        <v>1444</v>
      </c>
      <c r="I420" s="73" t="s">
        <v>254</v>
      </c>
    </row>
    <row r="421" customFormat="false" ht="15" hidden="false" customHeight="false" outlineLevel="0" collapsed="false">
      <c r="A421" s="72" t="n">
        <v>417</v>
      </c>
      <c r="B421" s="72" t="s">
        <v>1445</v>
      </c>
      <c r="C421" s="72" t="s">
        <v>265</v>
      </c>
      <c r="D421" s="72" t="s">
        <v>1255</v>
      </c>
      <c r="E421" s="73" t="s">
        <v>722</v>
      </c>
      <c r="F421" s="72" t="s">
        <v>723</v>
      </c>
      <c r="G421" s="74" t="n">
        <v>90353</v>
      </c>
      <c r="H421" s="75" t="s">
        <v>1446</v>
      </c>
      <c r="I421" s="73" t="s">
        <v>254</v>
      </c>
    </row>
    <row r="422" customFormat="false" ht="15" hidden="false" customHeight="false" outlineLevel="0" collapsed="false">
      <c r="A422" s="72" t="n">
        <v>418</v>
      </c>
      <c r="B422" s="72" t="s">
        <v>1447</v>
      </c>
      <c r="C422" s="72" t="s">
        <v>265</v>
      </c>
      <c r="D422" s="72" t="s">
        <v>1255</v>
      </c>
      <c r="E422" s="73" t="s">
        <v>722</v>
      </c>
      <c r="F422" s="72" t="s">
        <v>723</v>
      </c>
      <c r="G422" s="74" t="n">
        <v>36561</v>
      </c>
      <c r="H422" s="75" t="s">
        <v>1448</v>
      </c>
      <c r="I422" s="73" t="s">
        <v>254</v>
      </c>
    </row>
    <row r="423" customFormat="false" ht="15" hidden="false" customHeight="false" outlineLevel="0" collapsed="false">
      <c r="A423" s="72" t="n">
        <v>419</v>
      </c>
      <c r="B423" s="72" t="s">
        <v>1449</v>
      </c>
      <c r="C423" s="72" t="s">
        <v>265</v>
      </c>
      <c r="D423" s="72" t="s">
        <v>1255</v>
      </c>
      <c r="E423" s="73" t="s">
        <v>722</v>
      </c>
      <c r="F423" s="72" t="s">
        <v>723</v>
      </c>
      <c r="G423" s="74" t="n">
        <v>42143</v>
      </c>
      <c r="H423" s="75" t="s">
        <v>1450</v>
      </c>
      <c r="I423" s="73" t="s">
        <v>254</v>
      </c>
    </row>
    <row r="424" customFormat="false" ht="15" hidden="false" customHeight="false" outlineLevel="0" collapsed="false">
      <c r="A424" s="72" t="n">
        <v>420</v>
      </c>
      <c r="B424" s="72" t="s">
        <v>1451</v>
      </c>
      <c r="C424" s="72" t="s">
        <v>265</v>
      </c>
      <c r="D424" s="72" t="s">
        <v>1255</v>
      </c>
      <c r="E424" s="73" t="s">
        <v>722</v>
      </c>
      <c r="F424" s="72" t="s">
        <v>723</v>
      </c>
      <c r="G424" s="74" t="n">
        <v>24779</v>
      </c>
      <c r="H424" s="75" t="s">
        <v>1452</v>
      </c>
      <c r="I424" s="73" t="s">
        <v>254</v>
      </c>
    </row>
    <row r="425" customFormat="false" ht="15" hidden="false" customHeight="false" outlineLevel="0" collapsed="false">
      <c r="A425" s="72" t="n">
        <v>421</v>
      </c>
      <c r="B425" s="72" t="s">
        <v>1453</v>
      </c>
      <c r="C425" s="72" t="s">
        <v>265</v>
      </c>
      <c r="D425" s="72" t="s">
        <v>1255</v>
      </c>
      <c r="E425" s="73" t="s">
        <v>722</v>
      </c>
      <c r="F425" s="72" t="s">
        <v>723</v>
      </c>
      <c r="G425" s="74" t="n">
        <v>73798</v>
      </c>
      <c r="H425" s="75" t="s">
        <v>1454</v>
      </c>
      <c r="I425" s="73" t="s">
        <v>254</v>
      </c>
    </row>
    <row r="426" customFormat="false" ht="15" hidden="false" customHeight="false" outlineLevel="0" collapsed="false">
      <c r="A426" s="72" t="n">
        <v>422</v>
      </c>
      <c r="B426" s="72" t="s">
        <v>1455</v>
      </c>
      <c r="C426" s="72" t="s">
        <v>265</v>
      </c>
      <c r="D426" s="72" t="s">
        <v>1255</v>
      </c>
      <c r="E426" s="73" t="s">
        <v>722</v>
      </c>
      <c r="F426" s="72" t="s">
        <v>723</v>
      </c>
      <c r="G426" s="74" t="n">
        <v>70359</v>
      </c>
      <c r="H426" s="75" t="s">
        <v>1456</v>
      </c>
      <c r="I426" s="73" t="s">
        <v>254</v>
      </c>
    </row>
    <row r="427" customFormat="false" ht="15" hidden="false" customHeight="false" outlineLevel="0" collapsed="false">
      <c r="A427" s="72" t="n">
        <v>423</v>
      </c>
      <c r="B427" s="72" t="s">
        <v>1457</v>
      </c>
      <c r="C427" s="72" t="s">
        <v>265</v>
      </c>
      <c r="D427" s="72" t="s">
        <v>1255</v>
      </c>
      <c r="E427" s="73" t="s">
        <v>722</v>
      </c>
      <c r="F427" s="72" t="s">
        <v>723</v>
      </c>
      <c r="G427" s="74" t="n">
        <v>18807</v>
      </c>
      <c r="H427" s="75" t="s">
        <v>1458</v>
      </c>
      <c r="I427" s="73" t="s">
        <v>254</v>
      </c>
    </row>
    <row r="428" customFormat="false" ht="15" hidden="false" customHeight="false" outlineLevel="0" collapsed="false">
      <c r="A428" s="72" t="n">
        <v>424</v>
      </c>
      <c r="B428" s="72" t="s">
        <v>1459</v>
      </c>
      <c r="C428" s="72" t="s">
        <v>265</v>
      </c>
      <c r="D428" s="72" t="s">
        <v>1255</v>
      </c>
      <c r="E428" s="73" t="s">
        <v>722</v>
      </c>
      <c r="F428" s="72" t="s">
        <v>723</v>
      </c>
      <c r="G428" s="74" t="n">
        <v>78221</v>
      </c>
      <c r="H428" s="75" t="s">
        <v>1460</v>
      </c>
      <c r="I428" s="73" t="s">
        <v>254</v>
      </c>
    </row>
    <row r="429" customFormat="false" ht="15" hidden="false" customHeight="false" outlineLevel="0" collapsed="false">
      <c r="A429" s="72" t="n">
        <v>425</v>
      </c>
      <c r="B429" s="72" t="s">
        <v>1461</v>
      </c>
      <c r="C429" s="72" t="s">
        <v>265</v>
      </c>
      <c r="D429" s="72" t="s">
        <v>1255</v>
      </c>
      <c r="E429" s="73" t="s">
        <v>722</v>
      </c>
      <c r="F429" s="72" t="s">
        <v>723</v>
      </c>
      <c r="G429" s="74" t="n">
        <v>38114</v>
      </c>
      <c r="H429" s="75" t="s">
        <v>1462</v>
      </c>
      <c r="I429" s="73" t="s">
        <v>254</v>
      </c>
    </row>
    <row r="430" customFormat="false" ht="15" hidden="false" customHeight="false" outlineLevel="0" collapsed="false">
      <c r="A430" s="72" t="n">
        <v>426</v>
      </c>
      <c r="B430" s="72" t="s">
        <v>1463</v>
      </c>
      <c r="C430" s="72" t="s">
        <v>265</v>
      </c>
      <c r="D430" s="72" t="s">
        <v>1255</v>
      </c>
      <c r="E430" s="73" t="s">
        <v>722</v>
      </c>
      <c r="F430" s="72" t="s">
        <v>723</v>
      </c>
      <c r="G430" s="74" t="n">
        <v>40239</v>
      </c>
      <c r="H430" s="75" t="s">
        <v>1464</v>
      </c>
      <c r="I430" s="73" t="s">
        <v>254</v>
      </c>
    </row>
    <row r="431" customFormat="false" ht="15" hidden="false" customHeight="false" outlineLevel="0" collapsed="false">
      <c r="A431" s="72" t="n">
        <v>427</v>
      </c>
      <c r="B431" s="72" t="s">
        <v>1465</v>
      </c>
      <c r="C431" s="72" t="s">
        <v>265</v>
      </c>
      <c r="D431" s="72" t="s">
        <v>1255</v>
      </c>
      <c r="E431" s="73" t="s">
        <v>722</v>
      </c>
      <c r="F431" s="72" t="s">
        <v>723</v>
      </c>
      <c r="G431" s="74" t="n">
        <v>21309</v>
      </c>
      <c r="H431" s="75" t="s">
        <v>1466</v>
      </c>
      <c r="I431" s="73" t="s">
        <v>254</v>
      </c>
    </row>
    <row r="432" customFormat="false" ht="15" hidden="false" customHeight="false" outlineLevel="0" collapsed="false">
      <c r="A432" s="72" t="n">
        <v>428</v>
      </c>
      <c r="B432" s="72" t="s">
        <v>1467</v>
      </c>
      <c r="C432" s="72" t="s">
        <v>265</v>
      </c>
      <c r="D432" s="72" t="s">
        <v>1255</v>
      </c>
      <c r="E432" s="73" t="s">
        <v>722</v>
      </c>
      <c r="F432" s="72" t="s">
        <v>723</v>
      </c>
      <c r="G432" s="74" t="n">
        <v>70291</v>
      </c>
      <c r="H432" s="75" t="s">
        <v>1468</v>
      </c>
      <c r="I432" s="73" t="s">
        <v>254</v>
      </c>
    </row>
    <row r="433" customFormat="false" ht="15" hidden="false" customHeight="false" outlineLevel="0" collapsed="false">
      <c r="A433" s="72" t="n">
        <v>429</v>
      </c>
      <c r="B433" s="72" t="s">
        <v>1469</v>
      </c>
      <c r="C433" s="72" t="s">
        <v>265</v>
      </c>
      <c r="D433" s="72" t="s">
        <v>1255</v>
      </c>
      <c r="E433" s="73" t="s">
        <v>722</v>
      </c>
      <c r="F433" s="72" t="s">
        <v>723</v>
      </c>
      <c r="G433" s="74" t="n">
        <v>62726</v>
      </c>
      <c r="H433" s="75" t="s">
        <v>1470</v>
      </c>
      <c r="I433" s="73" t="s">
        <v>254</v>
      </c>
    </row>
    <row r="434" customFormat="false" ht="15" hidden="false" customHeight="false" outlineLevel="0" collapsed="false">
      <c r="A434" s="72" t="n">
        <v>430</v>
      </c>
      <c r="B434" s="72" t="s">
        <v>1471</v>
      </c>
      <c r="C434" s="72" t="s">
        <v>265</v>
      </c>
      <c r="D434" s="72" t="s">
        <v>1255</v>
      </c>
      <c r="E434" s="73" t="s">
        <v>722</v>
      </c>
      <c r="F434" s="72" t="s">
        <v>723</v>
      </c>
      <c r="G434" s="74" t="n">
        <v>45063</v>
      </c>
      <c r="H434" s="75" t="s">
        <v>1472</v>
      </c>
      <c r="I434" s="73" t="s">
        <v>254</v>
      </c>
    </row>
    <row r="435" customFormat="false" ht="15" hidden="false" customHeight="false" outlineLevel="0" collapsed="false">
      <c r="A435" s="72" t="n">
        <v>431</v>
      </c>
      <c r="B435" s="72" t="s">
        <v>1473</v>
      </c>
      <c r="C435" s="72" t="s">
        <v>265</v>
      </c>
      <c r="D435" s="72" t="s">
        <v>1255</v>
      </c>
      <c r="E435" s="73" t="s">
        <v>722</v>
      </c>
      <c r="F435" s="72" t="s">
        <v>723</v>
      </c>
      <c r="G435" s="74" t="n">
        <v>89899</v>
      </c>
      <c r="H435" s="75" t="s">
        <v>1474</v>
      </c>
      <c r="I435" s="73" t="s">
        <v>254</v>
      </c>
    </row>
    <row r="436" customFormat="false" ht="15" hidden="false" customHeight="false" outlineLevel="0" collapsed="false">
      <c r="A436" s="72" t="n">
        <v>432</v>
      </c>
      <c r="B436" s="72" t="s">
        <v>1475</v>
      </c>
      <c r="C436" s="72" t="s">
        <v>265</v>
      </c>
      <c r="D436" s="72" t="s">
        <v>1255</v>
      </c>
      <c r="E436" s="73" t="s">
        <v>722</v>
      </c>
      <c r="F436" s="72" t="s">
        <v>723</v>
      </c>
      <c r="G436" s="74" t="n">
        <v>45435</v>
      </c>
      <c r="H436" s="75" t="s">
        <v>1476</v>
      </c>
      <c r="I436" s="73" t="s">
        <v>254</v>
      </c>
    </row>
    <row r="437" customFormat="false" ht="15" hidden="false" customHeight="false" outlineLevel="0" collapsed="false">
      <c r="A437" s="72" t="n">
        <v>433</v>
      </c>
      <c r="B437" s="72" t="s">
        <v>1477</v>
      </c>
      <c r="C437" s="72" t="s">
        <v>265</v>
      </c>
      <c r="D437" s="72" t="s">
        <v>1255</v>
      </c>
      <c r="E437" s="73" t="s">
        <v>722</v>
      </c>
      <c r="F437" s="72" t="s">
        <v>723</v>
      </c>
      <c r="G437" s="74" t="n">
        <v>62780</v>
      </c>
      <c r="H437" s="75" t="s">
        <v>1478</v>
      </c>
      <c r="I437" s="73" t="s">
        <v>254</v>
      </c>
    </row>
    <row r="438" customFormat="false" ht="15" hidden="false" customHeight="false" outlineLevel="0" collapsed="false">
      <c r="A438" s="72" t="n">
        <v>434</v>
      </c>
      <c r="B438" s="72" t="s">
        <v>1479</v>
      </c>
      <c r="C438" s="72" t="s">
        <v>265</v>
      </c>
      <c r="D438" s="72" t="s">
        <v>1255</v>
      </c>
      <c r="E438" s="73" t="s">
        <v>722</v>
      </c>
      <c r="F438" s="72" t="s">
        <v>723</v>
      </c>
      <c r="G438" s="74" t="n">
        <v>76937</v>
      </c>
      <c r="H438" s="75" t="s">
        <v>1480</v>
      </c>
      <c r="I438" s="73" t="s">
        <v>254</v>
      </c>
    </row>
    <row r="439" customFormat="false" ht="15" hidden="false" customHeight="false" outlineLevel="0" collapsed="false">
      <c r="A439" s="72" t="n">
        <v>435</v>
      </c>
      <c r="B439" s="72" t="s">
        <v>1481</v>
      </c>
      <c r="C439" s="72" t="s">
        <v>265</v>
      </c>
      <c r="D439" s="72" t="s">
        <v>1255</v>
      </c>
      <c r="E439" s="73" t="s">
        <v>722</v>
      </c>
      <c r="F439" s="72" t="s">
        <v>723</v>
      </c>
      <c r="G439" s="74" t="n">
        <v>40950</v>
      </c>
      <c r="H439" s="75" t="s">
        <v>1482</v>
      </c>
      <c r="I439" s="73" t="s">
        <v>254</v>
      </c>
    </row>
    <row r="440" customFormat="false" ht="15" hidden="false" customHeight="false" outlineLevel="0" collapsed="false">
      <c r="A440" s="72" t="n">
        <v>436</v>
      </c>
      <c r="B440" s="72" t="s">
        <v>1483</v>
      </c>
      <c r="C440" s="72" t="s">
        <v>265</v>
      </c>
      <c r="D440" s="72" t="s">
        <v>1255</v>
      </c>
      <c r="E440" s="73" t="s">
        <v>722</v>
      </c>
      <c r="F440" s="72" t="s">
        <v>723</v>
      </c>
      <c r="G440" s="74" t="n">
        <v>104501</v>
      </c>
      <c r="H440" s="75" t="s">
        <v>1484</v>
      </c>
      <c r="I440" s="73" t="s">
        <v>254</v>
      </c>
    </row>
    <row r="441" customFormat="false" ht="15" hidden="false" customHeight="false" outlineLevel="0" collapsed="false">
      <c r="A441" s="72" t="n">
        <v>437</v>
      </c>
      <c r="B441" s="72" t="s">
        <v>1485</v>
      </c>
      <c r="C441" s="72" t="s">
        <v>265</v>
      </c>
      <c r="D441" s="72" t="s">
        <v>1255</v>
      </c>
      <c r="E441" s="73" t="s">
        <v>722</v>
      </c>
      <c r="F441" s="72" t="s">
        <v>723</v>
      </c>
      <c r="G441" s="74" t="n">
        <v>82871</v>
      </c>
      <c r="H441" s="75" t="s">
        <v>1486</v>
      </c>
      <c r="I441" s="73" t="s">
        <v>254</v>
      </c>
    </row>
    <row r="442" customFormat="false" ht="15" hidden="false" customHeight="false" outlineLevel="0" collapsed="false">
      <c r="A442" s="72" t="n">
        <v>438</v>
      </c>
      <c r="B442" s="72" t="s">
        <v>1487</v>
      </c>
      <c r="C442" s="72" t="s">
        <v>265</v>
      </c>
      <c r="D442" s="72" t="s">
        <v>1255</v>
      </c>
      <c r="E442" s="73" t="s">
        <v>722</v>
      </c>
      <c r="F442" s="72" t="s">
        <v>723</v>
      </c>
      <c r="G442" s="74" t="n">
        <v>88539</v>
      </c>
      <c r="H442" s="75" t="s">
        <v>1488</v>
      </c>
      <c r="I442" s="73" t="s">
        <v>254</v>
      </c>
    </row>
    <row r="443" customFormat="false" ht="15" hidden="false" customHeight="false" outlineLevel="0" collapsed="false">
      <c r="A443" s="72" t="n">
        <v>439</v>
      </c>
      <c r="B443" s="72" t="s">
        <v>1489</v>
      </c>
      <c r="C443" s="72" t="s">
        <v>265</v>
      </c>
      <c r="D443" s="72" t="s">
        <v>1255</v>
      </c>
      <c r="E443" s="73" t="s">
        <v>722</v>
      </c>
      <c r="F443" s="72" t="s">
        <v>723</v>
      </c>
      <c r="G443" s="74" t="n">
        <v>70126</v>
      </c>
      <c r="H443" s="75" t="s">
        <v>1490</v>
      </c>
      <c r="I443" s="73" t="s">
        <v>254</v>
      </c>
    </row>
    <row r="444" customFormat="false" ht="15" hidden="false" customHeight="false" outlineLevel="0" collapsed="false">
      <c r="A444" s="72" t="n">
        <v>440</v>
      </c>
      <c r="B444" s="72" t="s">
        <v>1491</v>
      </c>
      <c r="C444" s="72" t="s">
        <v>265</v>
      </c>
      <c r="D444" s="72" t="s">
        <v>1255</v>
      </c>
      <c r="E444" s="73" t="s">
        <v>722</v>
      </c>
      <c r="F444" s="72" t="s">
        <v>723</v>
      </c>
      <c r="G444" s="74" t="n">
        <v>94719</v>
      </c>
      <c r="H444" s="75" t="s">
        <v>1492</v>
      </c>
      <c r="I444" s="73" t="s">
        <v>254</v>
      </c>
    </row>
    <row r="445" customFormat="false" ht="15" hidden="false" customHeight="false" outlineLevel="0" collapsed="false">
      <c r="A445" s="72" t="n">
        <v>441</v>
      </c>
      <c r="B445" s="72" t="s">
        <v>1493</v>
      </c>
      <c r="C445" s="72" t="s">
        <v>265</v>
      </c>
      <c r="D445" s="72" t="s">
        <v>1255</v>
      </c>
      <c r="E445" s="73" t="s">
        <v>722</v>
      </c>
      <c r="F445" s="72" t="s">
        <v>723</v>
      </c>
      <c r="G445" s="74" t="n">
        <v>165530</v>
      </c>
      <c r="H445" s="75" t="s">
        <v>1494</v>
      </c>
      <c r="I445" s="73" t="s">
        <v>254</v>
      </c>
    </row>
    <row r="446" customFormat="false" ht="15" hidden="false" customHeight="false" outlineLevel="0" collapsed="false">
      <c r="A446" s="72" t="n">
        <v>442</v>
      </c>
      <c r="B446" s="72" t="s">
        <v>1495</v>
      </c>
      <c r="C446" s="72" t="s">
        <v>265</v>
      </c>
      <c r="D446" s="72" t="s">
        <v>1255</v>
      </c>
      <c r="E446" s="73" t="s">
        <v>722</v>
      </c>
      <c r="F446" s="72" t="s">
        <v>723</v>
      </c>
      <c r="G446" s="74" t="n">
        <v>442725</v>
      </c>
      <c r="H446" s="75" t="s">
        <v>1496</v>
      </c>
      <c r="I446" s="73" t="s">
        <v>254</v>
      </c>
    </row>
    <row r="447" customFormat="false" ht="15" hidden="false" customHeight="false" outlineLevel="0" collapsed="false">
      <c r="A447" s="72" t="n">
        <v>443</v>
      </c>
      <c r="B447" s="72" t="s">
        <v>1497</v>
      </c>
      <c r="C447" s="72" t="s">
        <v>265</v>
      </c>
      <c r="D447" s="72" t="s">
        <v>1255</v>
      </c>
      <c r="E447" s="73" t="s">
        <v>722</v>
      </c>
      <c r="F447" s="72" t="s">
        <v>723</v>
      </c>
      <c r="G447" s="74" t="n">
        <v>181534</v>
      </c>
      <c r="H447" s="75" t="s">
        <v>1498</v>
      </c>
      <c r="I447" s="73" t="s">
        <v>254</v>
      </c>
    </row>
    <row r="448" customFormat="false" ht="15" hidden="false" customHeight="false" outlineLevel="0" collapsed="false">
      <c r="A448" s="72" t="n">
        <v>444</v>
      </c>
      <c r="B448" s="72" t="s">
        <v>1499</v>
      </c>
      <c r="C448" s="72" t="s">
        <v>265</v>
      </c>
      <c r="D448" s="72" t="s">
        <v>1255</v>
      </c>
      <c r="E448" s="73" t="s">
        <v>722</v>
      </c>
      <c r="F448" s="72" t="s">
        <v>723</v>
      </c>
      <c r="G448" s="74" t="n">
        <v>202262</v>
      </c>
      <c r="H448" s="75" t="s">
        <v>1500</v>
      </c>
      <c r="I448" s="73" t="s">
        <v>254</v>
      </c>
    </row>
    <row r="449" customFormat="false" ht="15" hidden="false" customHeight="false" outlineLevel="0" collapsed="false">
      <c r="A449" s="72" t="n">
        <v>445</v>
      </c>
      <c r="B449" s="72" t="s">
        <v>1501</v>
      </c>
      <c r="C449" s="72" t="s">
        <v>265</v>
      </c>
      <c r="D449" s="72" t="s">
        <v>1255</v>
      </c>
      <c r="E449" s="73" t="s">
        <v>722</v>
      </c>
      <c r="F449" s="72" t="s">
        <v>723</v>
      </c>
      <c r="G449" s="74" t="n">
        <v>436998</v>
      </c>
      <c r="H449" s="75" t="s">
        <v>1502</v>
      </c>
      <c r="I449" s="73" t="s">
        <v>254</v>
      </c>
    </row>
    <row r="450" customFormat="false" ht="15" hidden="false" customHeight="false" outlineLevel="0" collapsed="false">
      <c r="A450" s="72" t="n">
        <v>446</v>
      </c>
      <c r="B450" s="72" t="s">
        <v>1503</v>
      </c>
      <c r="C450" s="72" t="s">
        <v>265</v>
      </c>
      <c r="D450" s="72" t="s">
        <v>1255</v>
      </c>
      <c r="E450" s="73" t="s">
        <v>722</v>
      </c>
      <c r="F450" s="72" t="s">
        <v>723</v>
      </c>
      <c r="G450" s="74" t="n">
        <v>191600</v>
      </c>
      <c r="H450" s="75" t="s">
        <v>1504</v>
      </c>
      <c r="I450" s="73" t="s">
        <v>254</v>
      </c>
    </row>
    <row r="451" customFormat="false" ht="15" hidden="false" customHeight="false" outlineLevel="0" collapsed="false">
      <c r="A451" s="72" t="n">
        <v>447</v>
      </c>
      <c r="B451" s="72" t="s">
        <v>1505</v>
      </c>
      <c r="C451" s="72" t="s">
        <v>265</v>
      </c>
      <c r="D451" s="72" t="s">
        <v>1255</v>
      </c>
      <c r="E451" s="73" t="s">
        <v>722</v>
      </c>
      <c r="F451" s="72" t="s">
        <v>723</v>
      </c>
      <c r="G451" s="74" t="n">
        <v>200820</v>
      </c>
      <c r="H451" s="75" t="s">
        <v>1506</v>
      </c>
      <c r="I451" s="73" t="s">
        <v>254</v>
      </c>
    </row>
    <row r="452" customFormat="false" ht="15" hidden="false" customHeight="false" outlineLevel="0" collapsed="false">
      <c r="A452" s="72" t="n">
        <v>448</v>
      </c>
      <c r="B452" s="72" t="s">
        <v>1507</v>
      </c>
      <c r="C452" s="72" t="s">
        <v>265</v>
      </c>
      <c r="D452" s="72" t="s">
        <v>1255</v>
      </c>
      <c r="E452" s="73" t="s">
        <v>722</v>
      </c>
      <c r="F452" s="72" t="s">
        <v>723</v>
      </c>
      <c r="G452" s="74" t="n">
        <v>198783</v>
      </c>
      <c r="H452" s="75" t="s">
        <v>1508</v>
      </c>
      <c r="I452" s="73" t="s">
        <v>254</v>
      </c>
    </row>
    <row r="453" customFormat="false" ht="15" hidden="false" customHeight="false" outlineLevel="0" collapsed="false">
      <c r="A453" s="72" t="n">
        <v>449</v>
      </c>
      <c r="B453" s="72" t="s">
        <v>1509</v>
      </c>
      <c r="C453" s="72" t="s">
        <v>265</v>
      </c>
      <c r="D453" s="72" t="s">
        <v>1255</v>
      </c>
      <c r="E453" s="73" t="s">
        <v>722</v>
      </c>
      <c r="F453" s="72" t="s">
        <v>723</v>
      </c>
      <c r="G453" s="74" t="n">
        <v>147181</v>
      </c>
      <c r="H453" s="75" t="s">
        <v>1510</v>
      </c>
      <c r="I453" s="73" t="s">
        <v>254</v>
      </c>
    </row>
    <row r="454" customFormat="false" ht="15" hidden="false" customHeight="false" outlineLevel="0" collapsed="false">
      <c r="A454" s="72" t="n">
        <v>450</v>
      </c>
      <c r="B454" s="72" t="s">
        <v>1511</v>
      </c>
      <c r="C454" s="72" t="s">
        <v>265</v>
      </c>
      <c r="D454" s="72" t="s">
        <v>1255</v>
      </c>
      <c r="E454" s="73" t="s">
        <v>254</v>
      </c>
      <c r="F454" s="72" t="s">
        <v>583</v>
      </c>
      <c r="G454" s="74" t="n">
        <v>2859</v>
      </c>
      <c r="H454" s="75" t="s">
        <v>1512</v>
      </c>
      <c r="I454" s="73" t="s">
        <v>254</v>
      </c>
    </row>
    <row r="455" customFormat="false" ht="15" hidden="false" customHeight="false" outlineLevel="0" collapsed="false">
      <c r="A455" s="72" t="n">
        <v>451</v>
      </c>
      <c r="B455" s="72" t="s">
        <v>1513</v>
      </c>
      <c r="C455" s="72" t="s">
        <v>265</v>
      </c>
      <c r="D455" s="72" t="s">
        <v>1255</v>
      </c>
      <c r="E455" s="73" t="s">
        <v>254</v>
      </c>
      <c r="F455" s="72" t="s">
        <v>583</v>
      </c>
      <c r="G455" s="74" t="n">
        <v>1723</v>
      </c>
      <c r="H455" s="75" t="s">
        <v>1514</v>
      </c>
      <c r="I455" s="73" t="s">
        <v>254</v>
      </c>
    </row>
    <row r="456" customFormat="false" ht="15" hidden="false" customHeight="false" outlineLevel="0" collapsed="false">
      <c r="A456" s="72" t="n">
        <v>452</v>
      </c>
      <c r="B456" s="72" t="s">
        <v>1515</v>
      </c>
      <c r="C456" s="72" t="s">
        <v>265</v>
      </c>
      <c r="D456" s="72" t="s">
        <v>1255</v>
      </c>
      <c r="E456" s="73" t="s">
        <v>722</v>
      </c>
      <c r="F456" s="72" t="s">
        <v>723</v>
      </c>
      <c r="G456" s="74" t="n">
        <v>308869</v>
      </c>
      <c r="H456" s="75" t="s">
        <v>1516</v>
      </c>
      <c r="I456" s="73" t="s">
        <v>254</v>
      </c>
    </row>
    <row r="457" customFormat="false" ht="15" hidden="false" customHeight="false" outlineLevel="0" collapsed="false">
      <c r="A457" s="72" t="n">
        <v>453</v>
      </c>
      <c r="B457" s="72" t="s">
        <v>1517</v>
      </c>
      <c r="C457" s="72" t="s">
        <v>265</v>
      </c>
      <c r="D457" s="72" t="s">
        <v>1255</v>
      </c>
      <c r="E457" s="73" t="s">
        <v>722</v>
      </c>
      <c r="F457" s="72" t="s">
        <v>723</v>
      </c>
      <c r="G457" s="74" t="n">
        <v>306182</v>
      </c>
      <c r="H457" s="75" t="s">
        <v>1518</v>
      </c>
      <c r="I457" s="73" t="s">
        <v>254</v>
      </c>
    </row>
    <row r="458" customFormat="false" ht="15" hidden="false" customHeight="false" outlineLevel="0" collapsed="false">
      <c r="A458" s="72" t="n">
        <v>454</v>
      </c>
      <c r="B458" s="72" t="s">
        <v>1519</v>
      </c>
      <c r="C458" s="72" t="s">
        <v>265</v>
      </c>
      <c r="D458" s="72" t="s">
        <v>1255</v>
      </c>
      <c r="E458" s="73" t="s">
        <v>722</v>
      </c>
      <c r="F458" s="72" t="s">
        <v>723</v>
      </c>
      <c r="G458" s="74" t="n">
        <v>308655</v>
      </c>
      <c r="H458" s="75" t="s">
        <v>1520</v>
      </c>
      <c r="I458" s="73" t="s">
        <v>254</v>
      </c>
    </row>
    <row r="459" customFormat="false" ht="15" hidden="false" customHeight="false" outlineLevel="0" collapsed="false">
      <c r="A459" s="72" t="n">
        <v>455</v>
      </c>
      <c r="B459" s="72" t="s">
        <v>1521</v>
      </c>
      <c r="C459" s="72" t="s">
        <v>265</v>
      </c>
      <c r="D459" s="72" t="s">
        <v>1255</v>
      </c>
      <c r="E459" s="73" t="s">
        <v>722</v>
      </c>
      <c r="F459" s="72" t="s">
        <v>723</v>
      </c>
      <c r="G459" s="74" t="n">
        <v>177993</v>
      </c>
      <c r="H459" s="75" t="s">
        <v>1522</v>
      </c>
      <c r="I459" s="73" t="s">
        <v>254</v>
      </c>
    </row>
    <row r="460" customFormat="false" ht="15" hidden="false" customHeight="false" outlineLevel="0" collapsed="false">
      <c r="A460" s="72" t="n">
        <v>456</v>
      </c>
      <c r="B460" s="72" t="s">
        <v>1523</v>
      </c>
      <c r="C460" s="72" t="s">
        <v>265</v>
      </c>
      <c r="D460" s="72" t="s">
        <v>1255</v>
      </c>
      <c r="E460" s="73" t="s">
        <v>722</v>
      </c>
      <c r="F460" s="72" t="s">
        <v>723</v>
      </c>
      <c r="G460" s="74" t="n">
        <v>177993</v>
      </c>
      <c r="H460" s="75" t="s">
        <v>1522</v>
      </c>
      <c r="I460" s="73" t="s">
        <v>254</v>
      </c>
    </row>
    <row r="461" customFormat="false" ht="15" hidden="false" customHeight="false" outlineLevel="0" collapsed="false">
      <c r="A461" s="72" t="n">
        <v>457</v>
      </c>
      <c r="B461" s="72" t="s">
        <v>1524</v>
      </c>
      <c r="C461" s="72" t="s">
        <v>265</v>
      </c>
      <c r="D461" s="72" t="s">
        <v>1255</v>
      </c>
      <c r="E461" s="73" t="s">
        <v>722</v>
      </c>
      <c r="F461" s="72" t="s">
        <v>723</v>
      </c>
      <c r="G461" s="74" t="n">
        <v>234865</v>
      </c>
      <c r="H461" s="75" t="s">
        <v>1525</v>
      </c>
      <c r="I461" s="73" t="s">
        <v>254</v>
      </c>
    </row>
    <row r="462" customFormat="false" ht="15" hidden="false" customHeight="false" outlineLevel="0" collapsed="false">
      <c r="A462" s="72" t="n">
        <v>458</v>
      </c>
      <c r="B462" s="72" t="s">
        <v>1526</v>
      </c>
      <c r="C462" s="72" t="s">
        <v>265</v>
      </c>
      <c r="D462" s="72" t="s">
        <v>1255</v>
      </c>
      <c r="E462" s="73" t="s">
        <v>722</v>
      </c>
      <c r="F462" s="72" t="s">
        <v>723</v>
      </c>
      <c r="G462" s="74" t="n">
        <v>49011</v>
      </c>
      <c r="H462" s="75" t="s">
        <v>1527</v>
      </c>
      <c r="I462" s="73" t="s">
        <v>254</v>
      </c>
    </row>
    <row r="463" customFormat="false" ht="15" hidden="false" customHeight="false" outlineLevel="0" collapsed="false">
      <c r="A463" s="72" t="n">
        <v>459</v>
      </c>
      <c r="B463" s="72" t="s">
        <v>1528</v>
      </c>
      <c r="C463" s="72" t="s">
        <v>265</v>
      </c>
      <c r="D463" s="72" t="s">
        <v>1255</v>
      </c>
      <c r="E463" s="73" t="s">
        <v>722</v>
      </c>
      <c r="F463" s="72" t="s">
        <v>723</v>
      </c>
      <c r="G463" s="74" t="n">
        <v>51258</v>
      </c>
      <c r="H463" s="75" t="s">
        <v>1529</v>
      </c>
      <c r="I463" s="73" t="s">
        <v>254</v>
      </c>
    </row>
    <row r="464" customFormat="false" ht="15" hidden="false" customHeight="false" outlineLevel="0" collapsed="false">
      <c r="A464" s="72" t="n">
        <v>460</v>
      </c>
      <c r="B464" s="72" t="s">
        <v>1530</v>
      </c>
      <c r="C464" s="72" t="s">
        <v>265</v>
      </c>
      <c r="D464" s="72" t="s">
        <v>1255</v>
      </c>
      <c r="E464" s="73" t="s">
        <v>722</v>
      </c>
      <c r="F464" s="72" t="s">
        <v>723</v>
      </c>
      <c r="G464" s="74" t="n">
        <v>22370</v>
      </c>
      <c r="H464" s="75" t="s">
        <v>1531</v>
      </c>
      <c r="I464" s="73" t="s">
        <v>254</v>
      </c>
    </row>
    <row r="465" customFormat="false" ht="15" hidden="false" customHeight="false" outlineLevel="0" collapsed="false">
      <c r="A465" s="72" t="n">
        <v>461</v>
      </c>
      <c r="B465" s="72" t="s">
        <v>1532</v>
      </c>
      <c r="C465" s="72" t="s">
        <v>265</v>
      </c>
      <c r="D465" s="72" t="s">
        <v>1255</v>
      </c>
      <c r="E465" s="73" t="s">
        <v>722</v>
      </c>
      <c r="F465" s="72" t="s">
        <v>723</v>
      </c>
      <c r="G465" s="74" t="n">
        <v>59600</v>
      </c>
      <c r="H465" s="75" t="s">
        <v>1533</v>
      </c>
      <c r="I465" s="73" t="s">
        <v>254</v>
      </c>
    </row>
    <row r="466" customFormat="false" ht="15" hidden="false" customHeight="false" outlineLevel="0" collapsed="false">
      <c r="A466" s="72" t="n">
        <v>462</v>
      </c>
      <c r="B466" s="72" t="s">
        <v>1534</v>
      </c>
      <c r="C466" s="72" t="s">
        <v>265</v>
      </c>
      <c r="D466" s="72" t="s">
        <v>1255</v>
      </c>
      <c r="E466" s="73" t="s">
        <v>722</v>
      </c>
      <c r="F466" s="72" t="s">
        <v>723</v>
      </c>
      <c r="G466" s="74" t="n">
        <v>51621</v>
      </c>
      <c r="H466" s="75" t="s">
        <v>1535</v>
      </c>
      <c r="I466" s="73" t="s">
        <v>254</v>
      </c>
    </row>
    <row r="467" customFormat="false" ht="15" hidden="false" customHeight="false" outlineLevel="0" collapsed="false">
      <c r="A467" s="72" t="n">
        <v>463</v>
      </c>
      <c r="B467" s="72" t="s">
        <v>1536</v>
      </c>
      <c r="C467" s="72" t="s">
        <v>265</v>
      </c>
      <c r="D467" s="72" t="s">
        <v>1255</v>
      </c>
      <c r="E467" s="73" t="s">
        <v>722</v>
      </c>
      <c r="F467" s="72" t="s">
        <v>723</v>
      </c>
      <c r="G467" s="74" t="n">
        <v>74098</v>
      </c>
      <c r="H467" s="75" t="s">
        <v>1537</v>
      </c>
      <c r="I467" s="73" t="s">
        <v>254</v>
      </c>
    </row>
    <row r="468" customFormat="false" ht="15" hidden="false" customHeight="false" outlineLevel="0" collapsed="false">
      <c r="A468" s="72" t="n">
        <v>464</v>
      </c>
      <c r="B468" s="72" t="s">
        <v>1538</v>
      </c>
      <c r="C468" s="72" t="s">
        <v>265</v>
      </c>
      <c r="D468" s="72" t="s">
        <v>1255</v>
      </c>
      <c r="E468" s="73" t="s">
        <v>722</v>
      </c>
      <c r="F468" s="72" t="s">
        <v>723</v>
      </c>
      <c r="G468" s="74" t="n">
        <v>61437</v>
      </c>
      <c r="H468" s="75" t="s">
        <v>1539</v>
      </c>
      <c r="I468" s="73" t="s">
        <v>254</v>
      </c>
    </row>
    <row r="469" customFormat="false" ht="15" hidden="false" customHeight="false" outlineLevel="0" collapsed="false">
      <c r="A469" s="72" t="n">
        <v>465</v>
      </c>
      <c r="B469" s="72" t="s">
        <v>1540</v>
      </c>
      <c r="C469" s="72" t="s">
        <v>265</v>
      </c>
      <c r="D469" s="72" t="s">
        <v>1255</v>
      </c>
      <c r="E469" s="73" t="s">
        <v>722</v>
      </c>
      <c r="F469" s="72" t="s">
        <v>723</v>
      </c>
      <c r="G469" s="74" t="n">
        <v>39547</v>
      </c>
      <c r="H469" s="75" t="s">
        <v>1541</v>
      </c>
      <c r="I469" s="73" t="s">
        <v>254</v>
      </c>
    </row>
    <row r="470" customFormat="false" ht="15" hidden="false" customHeight="false" outlineLevel="0" collapsed="false">
      <c r="A470" s="72" t="n">
        <v>466</v>
      </c>
      <c r="B470" s="72" t="s">
        <v>1542</v>
      </c>
      <c r="C470" s="72" t="s">
        <v>265</v>
      </c>
      <c r="D470" s="72" t="s">
        <v>1255</v>
      </c>
      <c r="E470" s="73" t="s">
        <v>722</v>
      </c>
      <c r="F470" s="72" t="s">
        <v>723</v>
      </c>
      <c r="G470" s="74" t="n">
        <v>37717</v>
      </c>
      <c r="H470" s="75" t="s">
        <v>1543</v>
      </c>
      <c r="I470" s="73" t="s">
        <v>254</v>
      </c>
    </row>
    <row r="471" customFormat="false" ht="15" hidden="false" customHeight="false" outlineLevel="0" collapsed="false">
      <c r="A471" s="72" t="n">
        <v>467</v>
      </c>
      <c r="B471" s="72" t="s">
        <v>1544</v>
      </c>
      <c r="C471" s="72" t="s">
        <v>265</v>
      </c>
      <c r="D471" s="72" t="s">
        <v>1255</v>
      </c>
      <c r="E471" s="73" t="s">
        <v>722</v>
      </c>
      <c r="F471" s="72" t="s">
        <v>723</v>
      </c>
      <c r="G471" s="74" t="n">
        <v>62198</v>
      </c>
      <c r="H471" s="75" t="s">
        <v>1545</v>
      </c>
      <c r="I471" s="73" t="s">
        <v>254</v>
      </c>
    </row>
    <row r="472" customFormat="false" ht="15" hidden="false" customHeight="false" outlineLevel="0" collapsed="false">
      <c r="A472" s="72" t="n">
        <v>468</v>
      </c>
      <c r="B472" s="72" t="s">
        <v>1546</v>
      </c>
      <c r="C472" s="72" t="s">
        <v>265</v>
      </c>
      <c r="D472" s="72" t="s">
        <v>1255</v>
      </c>
      <c r="E472" s="73" t="s">
        <v>722</v>
      </c>
      <c r="F472" s="72" t="s">
        <v>723</v>
      </c>
      <c r="G472" s="74" t="n">
        <v>35114</v>
      </c>
      <c r="H472" s="75" t="s">
        <v>1547</v>
      </c>
      <c r="I472" s="73" t="s">
        <v>254</v>
      </c>
    </row>
    <row r="473" customFormat="false" ht="15" hidden="false" customHeight="false" outlineLevel="0" collapsed="false">
      <c r="A473" s="72" t="n">
        <v>469</v>
      </c>
      <c r="B473" s="72" t="s">
        <v>1548</v>
      </c>
      <c r="C473" s="72" t="s">
        <v>265</v>
      </c>
      <c r="D473" s="72" t="s">
        <v>1255</v>
      </c>
      <c r="E473" s="73" t="s">
        <v>722</v>
      </c>
      <c r="F473" s="72" t="s">
        <v>723</v>
      </c>
      <c r="G473" s="74" t="n">
        <v>56195</v>
      </c>
      <c r="H473" s="75" t="s">
        <v>1549</v>
      </c>
      <c r="I473" s="73" t="s">
        <v>254</v>
      </c>
    </row>
    <row r="474" customFormat="false" ht="15" hidden="false" customHeight="false" outlineLevel="0" collapsed="false">
      <c r="A474" s="72" t="n">
        <v>470</v>
      </c>
      <c r="B474" s="72" t="s">
        <v>1550</v>
      </c>
      <c r="C474" s="72" t="s">
        <v>265</v>
      </c>
      <c r="D474" s="72" t="s">
        <v>1255</v>
      </c>
      <c r="E474" s="73" t="s">
        <v>722</v>
      </c>
      <c r="F474" s="72" t="s">
        <v>723</v>
      </c>
      <c r="G474" s="74" t="n">
        <v>57516</v>
      </c>
      <c r="H474" s="75" t="s">
        <v>1551</v>
      </c>
      <c r="I474" s="73" t="s">
        <v>254</v>
      </c>
    </row>
    <row r="475" customFormat="false" ht="15" hidden="false" customHeight="false" outlineLevel="0" collapsed="false">
      <c r="A475" s="72" t="n">
        <v>471</v>
      </c>
      <c r="B475" s="72" t="s">
        <v>1552</v>
      </c>
      <c r="C475" s="72" t="s">
        <v>265</v>
      </c>
      <c r="D475" s="72" t="s">
        <v>1255</v>
      </c>
      <c r="E475" s="73" t="s">
        <v>722</v>
      </c>
      <c r="F475" s="72" t="s">
        <v>723</v>
      </c>
      <c r="G475" s="74" t="n">
        <v>25330</v>
      </c>
      <c r="H475" s="75" t="s">
        <v>1553</v>
      </c>
      <c r="I475" s="73" t="s">
        <v>254</v>
      </c>
    </row>
    <row r="476" customFormat="false" ht="15" hidden="false" customHeight="false" outlineLevel="0" collapsed="false">
      <c r="A476" s="72" t="n">
        <v>472</v>
      </c>
      <c r="B476" s="72" t="s">
        <v>1554</v>
      </c>
      <c r="C476" s="72" t="s">
        <v>265</v>
      </c>
      <c r="D476" s="72" t="s">
        <v>1255</v>
      </c>
      <c r="E476" s="73" t="s">
        <v>722</v>
      </c>
      <c r="F476" s="72" t="s">
        <v>723</v>
      </c>
      <c r="G476" s="74" t="n">
        <v>77309</v>
      </c>
      <c r="H476" s="75" t="s">
        <v>1555</v>
      </c>
      <c r="I476" s="73" t="s">
        <v>254</v>
      </c>
    </row>
    <row r="477" customFormat="false" ht="15" hidden="false" customHeight="false" outlineLevel="0" collapsed="false">
      <c r="A477" s="72" t="n">
        <v>473</v>
      </c>
      <c r="B477" s="72" t="s">
        <v>1556</v>
      </c>
      <c r="C477" s="72" t="s">
        <v>265</v>
      </c>
      <c r="D477" s="72" t="s">
        <v>1255</v>
      </c>
      <c r="E477" s="73" t="s">
        <v>722</v>
      </c>
      <c r="F477" s="72" t="s">
        <v>723</v>
      </c>
      <c r="G477" s="74" t="n">
        <v>66479</v>
      </c>
      <c r="H477" s="75" t="s">
        <v>1557</v>
      </c>
      <c r="I477" s="73" t="s">
        <v>254</v>
      </c>
    </row>
    <row r="478" customFormat="false" ht="15" hidden="false" customHeight="false" outlineLevel="0" collapsed="false">
      <c r="A478" s="72" t="n">
        <v>474</v>
      </c>
      <c r="B478" s="72" t="s">
        <v>1558</v>
      </c>
      <c r="C478" s="72" t="s">
        <v>265</v>
      </c>
      <c r="D478" s="72" t="s">
        <v>1255</v>
      </c>
      <c r="E478" s="73" t="s">
        <v>722</v>
      </c>
      <c r="F478" s="72" t="s">
        <v>723</v>
      </c>
      <c r="G478" s="74" t="n">
        <v>79081</v>
      </c>
      <c r="H478" s="75" t="s">
        <v>1559</v>
      </c>
      <c r="I478" s="73" t="s">
        <v>254</v>
      </c>
    </row>
    <row r="479" customFormat="false" ht="15" hidden="false" customHeight="false" outlineLevel="0" collapsed="false">
      <c r="A479" s="72" t="n">
        <v>475</v>
      </c>
      <c r="B479" s="72" t="s">
        <v>1560</v>
      </c>
      <c r="C479" s="72" t="s">
        <v>265</v>
      </c>
      <c r="D479" s="72" t="s">
        <v>1255</v>
      </c>
      <c r="E479" s="73" t="s">
        <v>722</v>
      </c>
      <c r="F479" s="72" t="s">
        <v>723</v>
      </c>
      <c r="G479" s="74" t="n">
        <v>66190</v>
      </c>
      <c r="H479" s="75" t="s">
        <v>1561</v>
      </c>
      <c r="I479" s="73" t="s">
        <v>254</v>
      </c>
    </row>
    <row r="480" customFormat="false" ht="15" hidden="false" customHeight="false" outlineLevel="0" collapsed="false">
      <c r="A480" s="72" t="n">
        <v>476</v>
      </c>
      <c r="B480" s="72" t="s">
        <v>1562</v>
      </c>
      <c r="C480" s="72" t="s">
        <v>265</v>
      </c>
      <c r="D480" s="72" t="s">
        <v>1255</v>
      </c>
      <c r="E480" s="73" t="s">
        <v>722</v>
      </c>
      <c r="F480" s="72" t="s">
        <v>723</v>
      </c>
      <c r="G480" s="74" t="n">
        <v>48890</v>
      </c>
      <c r="H480" s="75" t="s">
        <v>1563</v>
      </c>
      <c r="I480" s="73" t="s">
        <v>254</v>
      </c>
    </row>
    <row r="481" customFormat="false" ht="15" hidden="false" customHeight="false" outlineLevel="0" collapsed="false">
      <c r="A481" s="72" t="n">
        <v>477</v>
      </c>
      <c r="B481" s="72" t="s">
        <v>1564</v>
      </c>
      <c r="C481" s="72" t="s">
        <v>265</v>
      </c>
      <c r="D481" s="72" t="s">
        <v>1255</v>
      </c>
      <c r="E481" s="73" t="s">
        <v>722</v>
      </c>
      <c r="F481" s="72" t="s">
        <v>723</v>
      </c>
      <c r="G481" s="74" t="n">
        <v>45492</v>
      </c>
      <c r="H481" s="75" t="s">
        <v>1565</v>
      </c>
      <c r="I481" s="73" t="s">
        <v>254</v>
      </c>
    </row>
    <row r="482" customFormat="false" ht="15" hidden="false" customHeight="false" outlineLevel="0" collapsed="false">
      <c r="A482" s="72" t="n">
        <v>478</v>
      </c>
      <c r="B482" s="72" t="s">
        <v>1566</v>
      </c>
      <c r="C482" s="72" t="s">
        <v>265</v>
      </c>
      <c r="D482" s="72" t="s">
        <v>1255</v>
      </c>
      <c r="E482" s="73" t="s">
        <v>722</v>
      </c>
      <c r="F482" s="72" t="s">
        <v>723</v>
      </c>
      <c r="G482" s="74" t="n">
        <v>81534</v>
      </c>
      <c r="H482" s="75" t="s">
        <v>1567</v>
      </c>
      <c r="I482" s="73" t="s">
        <v>254</v>
      </c>
    </row>
    <row r="483" customFormat="false" ht="15" hidden="false" customHeight="false" outlineLevel="0" collapsed="false">
      <c r="A483" s="72" t="n">
        <v>479</v>
      </c>
      <c r="B483" s="72" t="s">
        <v>1568</v>
      </c>
      <c r="C483" s="72" t="s">
        <v>265</v>
      </c>
      <c r="D483" s="72" t="s">
        <v>1255</v>
      </c>
      <c r="E483" s="73" t="s">
        <v>722</v>
      </c>
      <c r="F483" s="72" t="s">
        <v>723</v>
      </c>
      <c r="G483" s="74" t="n">
        <v>43846</v>
      </c>
      <c r="H483" s="75" t="s">
        <v>1569</v>
      </c>
      <c r="I483" s="73" t="s">
        <v>254</v>
      </c>
    </row>
    <row r="484" customFormat="false" ht="15" hidden="false" customHeight="false" outlineLevel="0" collapsed="false">
      <c r="A484" s="72" t="n">
        <v>480</v>
      </c>
      <c r="B484" s="72" t="s">
        <v>1570</v>
      </c>
      <c r="C484" s="72" t="s">
        <v>265</v>
      </c>
      <c r="D484" s="72" t="s">
        <v>1255</v>
      </c>
      <c r="E484" s="73" t="s">
        <v>254</v>
      </c>
      <c r="F484" s="72" t="s">
        <v>583</v>
      </c>
      <c r="G484" s="74" t="n">
        <v>914</v>
      </c>
      <c r="H484" s="75" t="s">
        <v>1571</v>
      </c>
      <c r="I484" s="73" t="s">
        <v>254</v>
      </c>
    </row>
    <row r="485" customFormat="false" ht="15" hidden="false" customHeight="false" outlineLevel="0" collapsed="false">
      <c r="A485" s="72" t="n">
        <v>481</v>
      </c>
      <c r="B485" s="72" t="s">
        <v>1572</v>
      </c>
      <c r="C485" s="72" t="s">
        <v>265</v>
      </c>
      <c r="D485" s="72" t="s">
        <v>1255</v>
      </c>
      <c r="E485" s="73" t="s">
        <v>722</v>
      </c>
      <c r="F485" s="72" t="s">
        <v>723</v>
      </c>
      <c r="G485" s="74" t="n">
        <v>62588</v>
      </c>
      <c r="H485" s="75" t="s">
        <v>1573</v>
      </c>
      <c r="I485" s="73" t="s">
        <v>254</v>
      </c>
    </row>
    <row r="486" customFormat="false" ht="15" hidden="false" customHeight="false" outlineLevel="0" collapsed="false">
      <c r="A486" s="72" t="n">
        <v>482</v>
      </c>
      <c r="B486" s="72" t="s">
        <v>1574</v>
      </c>
      <c r="C486" s="72" t="s">
        <v>265</v>
      </c>
      <c r="D486" s="72" t="s">
        <v>1255</v>
      </c>
      <c r="E486" s="73" t="s">
        <v>722</v>
      </c>
      <c r="F486" s="72" t="s">
        <v>723</v>
      </c>
      <c r="G486" s="74" t="n">
        <v>62588</v>
      </c>
      <c r="H486" s="75" t="s">
        <v>1573</v>
      </c>
      <c r="I486" s="73" t="s">
        <v>254</v>
      </c>
    </row>
    <row r="487" customFormat="false" ht="15" hidden="false" customHeight="false" outlineLevel="0" collapsed="false">
      <c r="A487" s="72" t="n">
        <v>483</v>
      </c>
      <c r="B487" s="72" t="s">
        <v>1575</v>
      </c>
      <c r="C487" s="72" t="s">
        <v>265</v>
      </c>
      <c r="D487" s="72" t="s">
        <v>1255</v>
      </c>
      <c r="E487" s="73" t="s">
        <v>722</v>
      </c>
      <c r="F487" s="72" t="s">
        <v>723</v>
      </c>
      <c r="G487" s="74" t="n">
        <v>97792</v>
      </c>
      <c r="H487" s="75" t="s">
        <v>1576</v>
      </c>
      <c r="I487" s="73" t="s">
        <v>254</v>
      </c>
    </row>
    <row r="488" customFormat="false" ht="15" hidden="false" customHeight="false" outlineLevel="0" collapsed="false">
      <c r="A488" s="72" t="n">
        <v>484</v>
      </c>
      <c r="B488" s="72" t="s">
        <v>1577</v>
      </c>
      <c r="C488" s="72" t="s">
        <v>265</v>
      </c>
      <c r="D488" s="72" t="s">
        <v>1255</v>
      </c>
      <c r="E488" s="73" t="s">
        <v>722</v>
      </c>
      <c r="F488" s="72" t="s">
        <v>723</v>
      </c>
      <c r="G488" s="74" t="n">
        <v>56159</v>
      </c>
      <c r="H488" s="75" t="s">
        <v>1578</v>
      </c>
      <c r="I488" s="73" t="s">
        <v>254</v>
      </c>
    </row>
    <row r="489" customFormat="false" ht="15" hidden="false" customHeight="false" outlineLevel="0" collapsed="false">
      <c r="A489" s="72" t="n">
        <v>485</v>
      </c>
      <c r="B489" s="72" t="s">
        <v>1579</v>
      </c>
      <c r="C489" s="72" t="s">
        <v>265</v>
      </c>
      <c r="D489" s="72" t="s">
        <v>1255</v>
      </c>
      <c r="E489" s="73" t="s">
        <v>722</v>
      </c>
      <c r="F489" s="72" t="s">
        <v>723</v>
      </c>
      <c r="G489" s="74" t="n">
        <v>83816</v>
      </c>
      <c r="H489" s="75" t="s">
        <v>1580</v>
      </c>
      <c r="I489" s="73" t="s">
        <v>254</v>
      </c>
    </row>
    <row r="490" customFormat="false" ht="15" hidden="false" customHeight="false" outlineLevel="0" collapsed="false">
      <c r="A490" s="72" t="n">
        <v>486</v>
      </c>
      <c r="B490" s="72" t="s">
        <v>1581</v>
      </c>
      <c r="C490" s="72" t="s">
        <v>265</v>
      </c>
      <c r="D490" s="72" t="s">
        <v>1255</v>
      </c>
      <c r="E490" s="73" t="s">
        <v>722</v>
      </c>
      <c r="F490" s="72" t="s">
        <v>723</v>
      </c>
      <c r="G490" s="74" t="n">
        <v>80402</v>
      </c>
      <c r="H490" s="75" t="s">
        <v>1582</v>
      </c>
      <c r="I490" s="73" t="s">
        <v>254</v>
      </c>
    </row>
    <row r="491" customFormat="false" ht="15" hidden="false" customHeight="false" outlineLevel="0" collapsed="false">
      <c r="A491" s="72" t="n">
        <v>487</v>
      </c>
      <c r="B491" s="72" t="s">
        <v>1583</v>
      </c>
      <c r="C491" s="72" t="s">
        <v>265</v>
      </c>
      <c r="D491" s="72" t="s">
        <v>1255</v>
      </c>
      <c r="E491" s="73" t="s">
        <v>722</v>
      </c>
      <c r="F491" s="72" t="s">
        <v>723</v>
      </c>
      <c r="G491" s="74" t="n">
        <v>71644</v>
      </c>
      <c r="H491" s="75" t="s">
        <v>1584</v>
      </c>
      <c r="I491" s="73" t="s">
        <v>254</v>
      </c>
    </row>
    <row r="492" customFormat="false" ht="15" hidden="false" customHeight="false" outlineLevel="0" collapsed="false">
      <c r="A492" s="72" t="n">
        <v>488</v>
      </c>
      <c r="B492" s="72" t="s">
        <v>1585</v>
      </c>
      <c r="C492" s="72" t="s">
        <v>265</v>
      </c>
      <c r="D492" s="72" t="s">
        <v>1255</v>
      </c>
      <c r="E492" s="73" t="s">
        <v>722</v>
      </c>
      <c r="F492" s="72" t="s">
        <v>723</v>
      </c>
      <c r="G492" s="74" t="n">
        <v>86694</v>
      </c>
      <c r="H492" s="75" t="s">
        <v>1586</v>
      </c>
      <c r="I492" s="73" t="s">
        <v>254</v>
      </c>
    </row>
    <row r="493" customFormat="false" ht="15" hidden="false" customHeight="false" outlineLevel="0" collapsed="false">
      <c r="A493" s="72" t="n">
        <v>489</v>
      </c>
      <c r="B493" s="72" t="s">
        <v>1587</v>
      </c>
      <c r="C493" s="72" t="s">
        <v>265</v>
      </c>
      <c r="D493" s="72" t="s">
        <v>1255</v>
      </c>
      <c r="E493" s="73" t="s">
        <v>722</v>
      </c>
      <c r="F493" s="72" t="s">
        <v>723</v>
      </c>
      <c r="G493" s="74" t="n">
        <v>69018</v>
      </c>
      <c r="H493" s="75" t="s">
        <v>1588</v>
      </c>
      <c r="I493" s="73" t="s">
        <v>254</v>
      </c>
    </row>
    <row r="494" customFormat="false" ht="15" hidden="false" customHeight="false" outlineLevel="0" collapsed="false">
      <c r="A494" s="72" t="n">
        <v>490</v>
      </c>
      <c r="B494" s="72" t="s">
        <v>1589</v>
      </c>
      <c r="C494" s="72" t="s">
        <v>265</v>
      </c>
      <c r="D494" s="72" t="s">
        <v>1255</v>
      </c>
      <c r="E494" s="73" t="s">
        <v>722</v>
      </c>
      <c r="F494" s="72" t="s">
        <v>723</v>
      </c>
      <c r="G494" s="74" t="n">
        <v>84679</v>
      </c>
      <c r="H494" s="75" t="s">
        <v>1590</v>
      </c>
      <c r="I494" s="73" t="s">
        <v>254</v>
      </c>
    </row>
    <row r="495" customFormat="false" ht="15" hidden="false" customHeight="false" outlineLevel="0" collapsed="false">
      <c r="A495" s="72" t="n">
        <v>491</v>
      </c>
      <c r="B495" s="72" t="s">
        <v>1591</v>
      </c>
      <c r="C495" s="72" t="s">
        <v>265</v>
      </c>
      <c r="D495" s="72" t="s">
        <v>1255</v>
      </c>
      <c r="E495" s="73" t="s">
        <v>722</v>
      </c>
      <c r="F495" s="72" t="s">
        <v>723</v>
      </c>
      <c r="G495" s="74" t="n">
        <v>69018</v>
      </c>
      <c r="H495" s="75" t="s">
        <v>1588</v>
      </c>
      <c r="I495" s="73" t="s">
        <v>254</v>
      </c>
    </row>
    <row r="496" customFormat="false" ht="15" hidden="false" customHeight="false" outlineLevel="0" collapsed="false">
      <c r="A496" s="72" t="n">
        <v>492</v>
      </c>
      <c r="B496" s="72" t="s">
        <v>1592</v>
      </c>
      <c r="C496" s="72" t="s">
        <v>265</v>
      </c>
      <c r="D496" s="72" t="s">
        <v>1255</v>
      </c>
      <c r="E496" s="73" t="s">
        <v>722</v>
      </c>
      <c r="F496" s="72" t="s">
        <v>723</v>
      </c>
      <c r="G496" s="74" t="n">
        <v>130749</v>
      </c>
      <c r="H496" s="75" t="s">
        <v>1593</v>
      </c>
      <c r="I496" s="73" t="s">
        <v>254</v>
      </c>
    </row>
    <row r="497" customFormat="false" ht="15" hidden="false" customHeight="false" outlineLevel="0" collapsed="false">
      <c r="A497" s="72" t="n">
        <v>493</v>
      </c>
      <c r="B497" s="72" t="s">
        <v>1594</v>
      </c>
      <c r="C497" s="72" t="s">
        <v>265</v>
      </c>
      <c r="D497" s="72" t="s">
        <v>1255</v>
      </c>
      <c r="E497" s="73" t="s">
        <v>722</v>
      </c>
      <c r="F497" s="72" t="s">
        <v>723</v>
      </c>
      <c r="G497" s="74" t="n">
        <v>111552</v>
      </c>
      <c r="H497" s="75" t="s">
        <v>1595</v>
      </c>
      <c r="I497" s="73" t="s">
        <v>254</v>
      </c>
    </row>
    <row r="498" customFormat="false" ht="15" hidden="false" customHeight="false" outlineLevel="0" collapsed="false">
      <c r="A498" s="72" t="n">
        <v>494</v>
      </c>
      <c r="B498" s="72" t="s">
        <v>1596</v>
      </c>
      <c r="C498" s="72" t="s">
        <v>265</v>
      </c>
      <c r="D498" s="72" t="s">
        <v>1255</v>
      </c>
      <c r="E498" s="73" t="s">
        <v>722</v>
      </c>
      <c r="F498" s="72" t="s">
        <v>723</v>
      </c>
      <c r="G498" s="74" t="n">
        <v>107316</v>
      </c>
      <c r="H498" s="75" t="s">
        <v>1597</v>
      </c>
      <c r="I498" s="73" t="s">
        <v>254</v>
      </c>
    </row>
    <row r="499" customFormat="false" ht="15" hidden="false" customHeight="false" outlineLevel="0" collapsed="false">
      <c r="A499" s="72" t="n">
        <v>495</v>
      </c>
      <c r="B499" s="72" t="s">
        <v>1598</v>
      </c>
      <c r="C499" s="72" t="s">
        <v>265</v>
      </c>
      <c r="D499" s="72" t="s">
        <v>1255</v>
      </c>
      <c r="E499" s="73" t="s">
        <v>722</v>
      </c>
      <c r="F499" s="72" t="s">
        <v>723</v>
      </c>
      <c r="G499" s="74" t="n">
        <v>58527</v>
      </c>
      <c r="H499" s="75" t="s">
        <v>1599</v>
      </c>
      <c r="I499" s="73" t="s">
        <v>254</v>
      </c>
    </row>
    <row r="500" customFormat="false" ht="15" hidden="false" customHeight="false" outlineLevel="0" collapsed="false">
      <c r="A500" s="72" t="n">
        <v>496</v>
      </c>
      <c r="B500" s="72" t="s">
        <v>1600</v>
      </c>
      <c r="C500" s="72" t="s">
        <v>265</v>
      </c>
      <c r="D500" s="72" t="s">
        <v>1255</v>
      </c>
      <c r="E500" s="73" t="s">
        <v>722</v>
      </c>
      <c r="F500" s="72" t="s">
        <v>723</v>
      </c>
      <c r="G500" s="74" t="n">
        <v>266983</v>
      </c>
      <c r="H500" s="75" t="s">
        <v>1601</v>
      </c>
      <c r="I500" s="73" t="s">
        <v>254</v>
      </c>
    </row>
    <row r="501" customFormat="false" ht="15" hidden="false" customHeight="false" outlineLevel="0" collapsed="false">
      <c r="A501" s="72" t="n">
        <v>497</v>
      </c>
      <c r="B501" s="72" t="s">
        <v>1602</v>
      </c>
      <c r="C501" s="72" t="s">
        <v>265</v>
      </c>
      <c r="D501" s="72" t="s">
        <v>1255</v>
      </c>
      <c r="E501" s="73" t="s">
        <v>722</v>
      </c>
      <c r="F501" s="72" t="s">
        <v>723</v>
      </c>
      <c r="G501" s="74" t="n">
        <v>160077</v>
      </c>
      <c r="H501" s="75" t="s">
        <v>1603</v>
      </c>
      <c r="I501" s="73" t="s">
        <v>254</v>
      </c>
    </row>
    <row r="502" customFormat="false" ht="15" hidden="false" customHeight="false" outlineLevel="0" collapsed="false">
      <c r="A502" s="72" t="n">
        <v>498</v>
      </c>
      <c r="B502" s="72" t="s">
        <v>1604</v>
      </c>
      <c r="C502" s="72" t="s">
        <v>265</v>
      </c>
      <c r="D502" s="72" t="s">
        <v>1255</v>
      </c>
      <c r="E502" s="73" t="s">
        <v>722</v>
      </c>
      <c r="F502" s="72" t="s">
        <v>723</v>
      </c>
      <c r="G502" s="74" t="n">
        <v>49582</v>
      </c>
      <c r="H502" s="75" t="s">
        <v>1605</v>
      </c>
      <c r="I502" s="73" t="s">
        <v>254</v>
      </c>
    </row>
    <row r="503" customFormat="false" ht="15" hidden="false" customHeight="false" outlineLevel="0" collapsed="false">
      <c r="A503" s="72" t="n">
        <v>499</v>
      </c>
      <c r="B503" s="72" t="s">
        <v>1606</v>
      </c>
      <c r="C503" s="72" t="s">
        <v>265</v>
      </c>
      <c r="D503" s="72" t="s">
        <v>1255</v>
      </c>
      <c r="E503" s="73" t="s">
        <v>722</v>
      </c>
      <c r="F503" s="72" t="s">
        <v>723</v>
      </c>
      <c r="G503" s="74" t="n">
        <v>58527</v>
      </c>
      <c r="H503" s="75" t="s">
        <v>1599</v>
      </c>
      <c r="I503" s="73" t="s">
        <v>254</v>
      </c>
    </row>
    <row r="504" customFormat="false" ht="15" hidden="false" customHeight="false" outlineLevel="0" collapsed="false">
      <c r="A504" s="72" t="n">
        <v>500</v>
      </c>
      <c r="B504" s="72" t="s">
        <v>1607</v>
      </c>
      <c r="C504" s="72" t="s">
        <v>265</v>
      </c>
      <c r="D504" s="72" t="s">
        <v>1255</v>
      </c>
      <c r="E504" s="73" t="s">
        <v>722</v>
      </c>
      <c r="F504" s="72" t="s">
        <v>723</v>
      </c>
      <c r="G504" s="74" t="n">
        <v>89475</v>
      </c>
      <c r="H504" s="75" t="s">
        <v>1608</v>
      </c>
      <c r="I504" s="73" t="s">
        <v>254</v>
      </c>
    </row>
    <row r="505" customFormat="false" ht="15" hidden="false" customHeight="false" outlineLevel="0" collapsed="false">
      <c r="A505" s="72" t="n">
        <v>501</v>
      </c>
      <c r="B505" s="72" t="s">
        <v>1609</v>
      </c>
      <c r="C505" s="72" t="s">
        <v>265</v>
      </c>
      <c r="D505" s="72" t="s">
        <v>1255</v>
      </c>
      <c r="E505" s="73" t="s">
        <v>722</v>
      </c>
      <c r="F505" s="72" t="s">
        <v>723</v>
      </c>
      <c r="G505" s="74" t="n">
        <v>20085</v>
      </c>
      <c r="H505" s="75" t="s">
        <v>1610</v>
      </c>
      <c r="I505" s="73" t="s">
        <v>254</v>
      </c>
    </row>
    <row r="506" customFormat="false" ht="15" hidden="false" customHeight="false" outlineLevel="0" collapsed="false">
      <c r="A506" s="72" t="n">
        <v>502</v>
      </c>
      <c r="B506" s="72" t="s">
        <v>1611</v>
      </c>
      <c r="C506" s="72" t="s">
        <v>265</v>
      </c>
      <c r="D506" s="72" t="s">
        <v>1255</v>
      </c>
      <c r="E506" s="73" t="s">
        <v>722</v>
      </c>
      <c r="F506" s="72" t="s">
        <v>723</v>
      </c>
      <c r="G506" s="74" t="n">
        <v>82158</v>
      </c>
      <c r="H506" s="75" t="s">
        <v>1612</v>
      </c>
      <c r="I506" s="73" t="s">
        <v>254</v>
      </c>
    </row>
    <row r="507" customFormat="false" ht="15" hidden="false" customHeight="false" outlineLevel="0" collapsed="false">
      <c r="A507" s="72" t="n">
        <v>503</v>
      </c>
      <c r="B507" s="72" t="s">
        <v>1613</v>
      </c>
      <c r="C507" s="72" t="s">
        <v>265</v>
      </c>
      <c r="D507" s="72" t="s">
        <v>1255</v>
      </c>
      <c r="E507" s="73" t="s">
        <v>722</v>
      </c>
      <c r="F507" s="72" t="s">
        <v>723</v>
      </c>
      <c r="G507" s="74" t="n">
        <v>73045</v>
      </c>
      <c r="H507" s="75" t="s">
        <v>1614</v>
      </c>
      <c r="I507" s="73" t="s">
        <v>254</v>
      </c>
    </row>
    <row r="508" customFormat="false" ht="15" hidden="false" customHeight="false" outlineLevel="0" collapsed="false">
      <c r="A508" s="72" t="n">
        <v>504</v>
      </c>
      <c r="B508" s="72" t="s">
        <v>1615</v>
      </c>
      <c r="C508" s="72" t="s">
        <v>265</v>
      </c>
      <c r="D508" s="72" t="s">
        <v>1255</v>
      </c>
      <c r="E508" s="73" t="s">
        <v>722</v>
      </c>
      <c r="F508" s="72" t="s">
        <v>723</v>
      </c>
      <c r="G508" s="74" t="n">
        <v>94633</v>
      </c>
      <c r="H508" s="75" t="s">
        <v>1616</v>
      </c>
      <c r="I508" s="73" t="s">
        <v>254</v>
      </c>
    </row>
    <row r="509" customFormat="false" ht="15" hidden="false" customHeight="false" outlineLevel="0" collapsed="false">
      <c r="A509" s="72" t="n">
        <v>505</v>
      </c>
      <c r="B509" s="72" t="s">
        <v>1617</v>
      </c>
      <c r="C509" s="72" t="s">
        <v>265</v>
      </c>
      <c r="D509" s="72" t="s">
        <v>1255</v>
      </c>
      <c r="E509" s="73" t="s">
        <v>722</v>
      </c>
      <c r="F509" s="72" t="s">
        <v>723</v>
      </c>
      <c r="G509" s="74" t="n">
        <v>107150</v>
      </c>
      <c r="H509" s="75" t="s">
        <v>1618</v>
      </c>
      <c r="I509" s="73" t="s">
        <v>254</v>
      </c>
    </row>
    <row r="510" customFormat="false" ht="15" hidden="false" customHeight="false" outlineLevel="0" collapsed="false">
      <c r="A510" s="72" t="n">
        <v>506</v>
      </c>
      <c r="B510" s="72" t="s">
        <v>1619</v>
      </c>
      <c r="C510" s="72" t="s">
        <v>265</v>
      </c>
      <c r="D510" s="72" t="s">
        <v>1255</v>
      </c>
      <c r="E510" s="73" t="s">
        <v>722</v>
      </c>
      <c r="F510" s="72" t="s">
        <v>723</v>
      </c>
      <c r="G510" s="74" t="n">
        <v>142683</v>
      </c>
      <c r="H510" s="75" t="s">
        <v>1620</v>
      </c>
      <c r="I510" s="73" t="s">
        <v>254</v>
      </c>
    </row>
    <row r="511" customFormat="false" ht="15" hidden="false" customHeight="false" outlineLevel="0" collapsed="false">
      <c r="A511" s="72" t="n">
        <v>507</v>
      </c>
      <c r="B511" s="72" t="s">
        <v>1621</v>
      </c>
      <c r="C511" s="72" t="s">
        <v>265</v>
      </c>
      <c r="D511" s="72" t="s">
        <v>1255</v>
      </c>
      <c r="E511" s="73" t="s">
        <v>722</v>
      </c>
      <c r="F511" s="72" t="s">
        <v>723</v>
      </c>
      <c r="G511" s="74" t="n">
        <v>139281</v>
      </c>
      <c r="H511" s="75" t="s">
        <v>1622</v>
      </c>
      <c r="I511" s="73" t="s">
        <v>254</v>
      </c>
    </row>
    <row r="512" customFormat="false" ht="15" hidden="false" customHeight="false" outlineLevel="0" collapsed="false">
      <c r="A512" s="72" t="n">
        <v>508</v>
      </c>
      <c r="B512" s="72" t="s">
        <v>1623</v>
      </c>
      <c r="C512" s="72" t="s">
        <v>265</v>
      </c>
      <c r="D512" s="72" t="s">
        <v>1255</v>
      </c>
      <c r="E512" s="73" t="s">
        <v>722</v>
      </c>
      <c r="F512" s="72" t="s">
        <v>723</v>
      </c>
      <c r="G512" s="74" t="n">
        <v>119163</v>
      </c>
      <c r="H512" s="75" t="s">
        <v>1624</v>
      </c>
      <c r="I512" s="73" t="s">
        <v>254</v>
      </c>
    </row>
    <row r="513" customFormat="false" ht="15" hidden="false" customHeight="false" outlineLevel="0" collapsed="false">
      <c r="A513" s="72" t="n">
        <v>509</v>
      </c>
      <c r="B513" s="72" t="s">
        <v>1625</v>
      </c>
      <c r="C513" s="72" t="s">
        <v>265</v>
      </c>
      <c r="D513" s="72" t="s">
        <v>1255</v>
      </c>
      <c r="E513" s="73" t="s">
        <v>722</v>
      </c>
      <c r="F513" s="72" t="s">
        <v>723</v>
      </c>
      <c r="G513" s="74" t="n">
        <v>90750</v>
      </c>
      <c r="H513" s="75" t="s">
        <v>1626</v>
      </c>
      <c r="I513" s="73" t="s">
        <v>254</v>
      </c>
    </row>
    <row r="514" customFormat="false" ht="15" hidden="false" customHeight="false" outlineLevel="0" collapsed="false">
      <c r="A514" s="72" t="n">
        <v>510</v>
      </c>
      <c r="B514" s="72" t="s">
        <v>1627</v>
      </c>
      <c r="C514" s="72" t="s">
        <v>265</v>
      </c>
      <c r="D514" s="72" t="s">
        <v>1255</v>
      </c>
      <c r="E514" s="73" t="s">
        <v>722</v>
      </c>
      <c r="F514" s="72" t="s">
        <v>723</v>
      </c>
      <c r="G514" s="74" t="n">
        <v>126107</v>
      </c>
      <c r="H514" s="75" t="s">
        <v>1628</v>
      </c>
      <c r="I514" s="73" t="s">
        <v>254</v>
      </c>
    </row>
    <row r="515" customFormat="false" ht="15" hidden="false" customHeight="false" outlineLevel="0" collapsed="false">
      <c r="A515" s="72" t="n">
        <v>511</v>
      </c>
      <c r="B515" s="72" t="s">
        <v>1629</v>
      </c>
      <c r="C515" s="72" t="s">
        <v>265</v>
      </c>
      <c r="D515" s="72" t="s">
        <v>1255</v>
      </c>
      <c r="E515" s="73" t="s">
        <v>722</v>
      </c>
      <c r="F515" s="72" t="s">
        <v>723</v>
      </c>
      <c r="G515" s="74" t="n">
        <v>99222</v>
      </c>
      <c r="H515" s="75" t="s">
        <v>1630</v>
      </c>
      <c r="I515" s="73" t="s">
        <v>254</v>
      </c>
    </row>
    <row r="516" customFormat="false" ht="15" hidden="false" customHeight="false" outlineLevel="0" collapsed="false">
      <c r="A516" s="72" t="n">
        <v>512</v>
      </c>
      <c r="B516" s="72" t="s">
        <v>1631</v>
      </c>
      <c r="C516" s="72" t="s">
        <v>265</v>
      </c>
      <c r="D516" s="72" t="s">
        <v>1255</v>
      </c>
      <c r="E516" s="73" t="s">
        <v>722</v>
      </c>
      <c r="F516" s="72" t="s">
        <v>723</v>
      </c>
      <c r="G516" s="74" t="n">
        <v>139341</v>
      </c>
      <c r="H516" s="75" t="s">
        <v>1632</v>
      </c>
      <c r="I516" s="73" t="s">
        <v>254</v>
      </c>
    </row>
    <row r="517" customFormat="false" ht="15" hidden="false" customHeight="false" outlineLevel="0" collapsed="false">
      <c r="A517" s="72" t="n">
        <v>513</v>
      </c>
      <c r="B517" s="72" t="s">
        <v>1633</v>
      </c>
      <c r="C517" s="72" t="s">
        <v>265</v>
      </c>
      <c r="D517" s="72" t="s">
        <v>1255</v>
      </c>
      <c r="E517" s="73" t="s">
        <v>722</v>
      </c>
      <c r="F517" s="72" t="s">
        <v>723</v>
      </c>
      <c r="G517" s="74" t="n">
        <v>101156</v>
      </c>
      <c r="H517" s="75" t="s">
        <v>1634</v>
      </c>
      <c r="I517" s="73" t="s">
        <v>254</v>
      </c>
    </row>
    <row r="518" customFormat="false" ht="15" hidden="false" customHeight="false" outlineLevel="0" collapsed="false">
      <c r="A518" s="72" t="n">
        <v>514</v>
      </c>
      <c r="B518" s="72" t="s">
        <v>1635</v>
      </c>
      <c r="C518" s="72" t="s">
        <v>265</v>
      </c>
      <c r="D518" s="72" t="s">
        <v>1255</v>
      </c>
      <c r="E518" s="73" t="s">
        <v>722</v>
      </c>
      <c r="F518" s="72" t="s">
        <v>723</v>
      </c>
      <c r="G518" s="74" t="n">
        <v>150093</v>
      </c>
      <c r="H518" s="75" t="s">
        <v>1636</v>
      </c>
      <c r="I518" s="73" t="s">
        <v>254</v>
      </c>
    </row>
    <row r="519" customFormat="false" ht="15" hidden="false" customHeight="false" outlineLevel="0" collapsed="false">
      <c r="A519" s="72" t="n">
        <v>515</v>
      </c>
      <c r="B519" s="72" t="s">
        <v>1637</v>
      </c>
      <c r="C519" s="72" t="s">
        <v>265</v>
      </c>
      <c r="D519" s="72" t="s">
        <v>1255</v>
      </c>
      <c r="E519" s="73" t="s">
        <v>722</v>
      </c>
      <c r="F519" s="72" t="s">
        <v>723</v>
      </c>
      <c r="G519" s="74" t="n">
        <v>115214</v>
      </c>
      <c r="H519" s="75" t="s">
        <v>1638</v>
      </c>
      <c r="I519" s="73" t="s">
        <v>254</v>
      </c>
    </row>
    <row r="520" customFormat="false" ht="15" hidden="false" customHeight="false" outlineLevel="0" collapsed="false">
      <c r="A520" s="72" t="n">
        <v>516</v>
      </c>
      <c r="B520" s="72" t="s">
        <v>1639</v>
      </c>
      <c r="C520" s="72" t="s">
        <v>265</v>
      </c>
      <c r="D520" s="72" t="s">
        <v>1255</v>
      </c>
      <c r="E520" s="73" t="s">
        <v>722</v>
      </c>
      <c r="F520" s="72" t="s">
        <v>723</v>
      </c>
      <c r="G520" s="74" t="n">
        <v>173257</v>
      </c>
      <c r="H520" s="75" t="s">
        <v>1640</v>
      </c>
      <c r="I520" s="73" t="s">
        <v>254</v>
      </c>
    </row>
    <row r="521" customFormat="false" ht="15" hidden="false" customHeight="false" outlineLevel="0" collapsed="false">
      <c r="A521" s="72" t="n">
        <v>517</v>
      </c>
      <c r="B521" s="72" t="s">
        <v>1641</v>
      </c>
      <c r="C521" s="72" t="s">
        <v>265</v>
      </c>
      <c r="D521" s="72" t="s">
        <v>1255</v>
      </c>
      <c r="E521" s="73" t="s">
        <v>722</v>
      </c>
      <c r="F521" s="72" t="s">
        <v>723</v>
      </c>
      <c r="G521" s="74" t="n">
        <v>107402</v>
      </c>
      <c r="H521" s="75" t="s">
        <v>1642</v>
      </c>
      <c r="I521" s="73" t="s">
        <v>254</v>
      </c>
    </row>
    <row r="522" customFormat="false" ht="15" hidden="false" customHeight="false" outlineLevel="0" collapsed="false">
      <c r="A522" s="72" t="n">
        <v>518</v>
      </c>
      <c r="B522" s="72" t="s">
        <v>1643</v>
      </c>
      <c r="C522" s="72" t="s">
        <v>265</v>
      </c>
      <c r="D522" s="72" t="s">
        <v>1255</v>
      </c>
      <c r="E522" s="73" t="s">
        <v>722</v>
      </c>
      <c r="F522" s="72" t="s">
        <v>723</v>
      </c>
      <c r="G522" s="74" t="n">
        <v>164052</v>
      </c>
      <c r="H522" s="75" t="s">
        <v>1644</v>
      </c>
      <c r="I522" s="73" t="s">
        <v>254</v>
      </c>
    </row>
    <row r="523" customFormat="false" ht="15" hidden="false" customHeight="false" outlineLevel="0" collapsed="false">
      <c r="A523" s="72" t="n">
        <v>519</v>
      </c>
      <c r="B523" s="72" t="s">
        <v>1645</v>
      </c>
      <c r="C523" s="72" t="s">
        <v>265</v>
      </c>
      <c r="D523" s="72" t="s">
        <v>1255</v>
      </c>
      <c r="E523" s="73" t="s">
        <v>722</v>
      </c>
      <c r="F523" s="72" t="s">
        <v>723</v>
      </c>
      <c r="G523" s="74" t="n">
        <v>110785</v>
      </c>
      <c r="H523" s="75" t="s">
        <v>1646</v>
      </c>
      <c r="I523" s="73" t="s">
        <v>254</v>
      </c>
    </row>
    <row r="524" customFormat="false" ht="15" hidden="false" customHeight="false" outlineLevel="0" collapsed="false">
      <c r="A524" s="72" t="n">
        <v>520</v>
      </c>
      <c r="B524" s="72" t="s">
        <v>1647</v>
      </c>
      <c r="C524" s="72" t="s">
        <v>265</v>
      </c>
      <c r="D524" s="72" t="s">
        <v>1255</v>
      </c>
      <c r="E524" s="73" t="s">
        <v>722</v>
      </c>
      <c r="F524" s="72" t="s">
        <v>723</v>
      </c>
      <c r="G524" s="74" t="n">
        <v>169420</v>
      </c>
      <c r="H524" s="75" t="s">
        <v>1648</v>
      </c>
      <c r="I524" s="73" t="s">
        <v>254</v>
      </c>
    </row>
    <row r="525" customFormat="false" ht="15" hidden="false" customHeight="false" outlineLevel="0" collapsed="false">
      <c r="A525" s="72" t="n">
        <v>521</v>
      </c>
      <c r="B525" s="72" t="s">
        <v>1649</v>
      </c>
      <c r="C525" s="72" t="s">
        <v>265</v>
      </c>
      <c r="D525" s="72" t="s">
        <v>1255</v>
      </c>
      <c r="E525" s="73" t="s">
        <v>722</v>
      </c>
      <c r="F525" s="72" t="s">
        <v>723</v>
      </c>
      <c r="G525" s="74" t="n">
        <v>114256</v>
      </c>
      <c r="H525" s="75" t="s">
        <v>1650</v>
      </c>
      <c r="I525" s="73" t="s">
        <v>254</v>
      </c>
    </row>
    <row r="526" customFormat="false" ht="15" hidden="false" customHeight="false" outlineLevel="0" collapsed="false">
      <c r="A526" s="72" t="n">
        <v>522</v>
      </c>
      <c r="B526" s="72" t="s">
        <v>1651</v>
      </c>
      <c r="C526" s="72" t="s">
        <v>265</v>
      </c>
      <c r="D526" s="72" t="s">
        <v>1255</v>
      </c>
      <c r="E526" s="73" t="s">
        <v>722</v>
      </c>
      <c r="F526" s="72" t="s">
        <v>723</v>
      </c>
      <c r="G526" s="74" t="n">
        <v>174052</v>
      </c>
      <c r="H526" s="75" t="s">
        <v>1652</v>
      </c>
      <c r="I526" s="73" t="s">
        <v>254</v>
      </c>
    </row>
    <row r="527" customFormat="false" ht="15" hidden="false" customHeight="false" outlineLevel="0" collapsed="false">
      <c r="A527" s="72" t="n">
        <v>523</v>
      </c>
      <c r="B527" s="72" t="s">
        <v>1653</v>
      </c>
      <c r="C527" s="72" t="s">
        <v>265</v>
      </c>
      <c r="D527" s="72" t="s">
        <v>1255</v>
      </c>
      <c r="E527" s="73" t="s">
        <v>722</v>
      </c>
      <c r="F527" s="72" t="s">
        <v>723</v>
      </c>
      <c r="G527" s="74" t="n">
        <v>117315</v>
      </c>
      <c r="H527" s="75" t="s">
        <v>1654</v>
      </c>
      <c r="I527" s="73" t="s">
        <v>254</v>
      </c>
    </row>
    <row r="528" customFormat="false" ht="15" hidden="false" customHeight="false" outlineLevel="0" collapsed="false">
      <c r="A528" s="72" t="n">
        <v>524</v>
      </c>
      <c r="B528" s="72" t="s">
        <v>1655</v>
      </c>
      <c r="C528" s="72" t="s">
        <v>265</v>
      </c>
      <c r="D528" s="72" t="s">
        <v>1255</v>
      </c>
      <c r="E528" s="73" t="s">
        <v>722</v>
      </c>
      <c r="F528" s="72" t="s">
        <v>723</v>
      </c>
      <c r="G528" s="74" t="n">
        <v>175062</v>
      </c>
      <c r="H528" s="75" t="s">
        <v>1656</v>
      </c>
      <c r="I528" s="73" t="s">
        <v>254</v>
      </c>
    </row>
    <row r="529" customFormat="false" ht="15" hidden="false" customHeight="false" outlineLevel="0" collapsed="false">
      <c r="A529" s="72" t="n">
        <v>525</v>
      </c>
      <c r="B529" s="72" t="s">
        <v>1657</v>
      </c>
      <c r="C529" s="72" t="s">
        <v>265</v>
      </c>
      <c r="D529" s="72" t="s">
        <v>1255</v>
      </c>
      <c r="E529" s="73" t="s">
        <v>722</v>
      </c>
      <c r="F529" s="72" t="s">
        <v>723</v>
      </c>
      <c r="G529" s="74" t="n">
        <v>102688</v>
      </c>
      <c r="H529" s="75" t="s">
        <v>1658</v>
      </c>
      <c r="I529" s="73" t="s">
        <v>254</v>
      </c>
    </row>
    <row r="530" customFormat="false" ht="15" hidden="false" customHeight="false" outlineLevel="0" collapsed="false">
      <c r="A530" s="72" t="n">
        <v>526</v>
      </c>
      <c r="B530" s="72" t="s">
        <v>1659</v>
      </c>
      <c r="C530" s="72" t="s">
        <v>265</v>
      </c>
      <c r="D530" s="72" t="s">
        <v>1255</v>
      </c>
      <c r="E530" s="73" t="s">
        <v>722</v>
      </c>
      <c r="F530" s="72" t="s">
        <v>723</v>
      </c>
      <c r="G530" s="74" t="n">
        <v>161774</v>
      </c>
      <c r="H530" s="75" t="s">
        <v>1660</v>
      </c>
      <c r="I530" s="73" t="s">
        <v>254</v>
      </c>
    </row>
    <row r="531" customFormat="false" ht="15" hidden="false" customHeight="false" outlineLevel="0" collapsed="false">
      <c r="A531" s="72" t="n">
        <v>527</v>
      </c>
      <c r="B531" s="72" t="s">
        <v>1661</v>
      </c>
      <c r="C531" s="72" t="s">
        <v>265</v>
      </c>
      <c r="D531" s="72" t="s">
        <v>1255</v>
      </c>
      <c r="E531" s="73" t="s">
        <v>722</v>
      </c>
      <c r="F531" s="72" t="s">
        <v>723</v>
      </c>
      <c r="G531" s="74" t="n">
        <v>95518</v>
      </c>
      <c r="H531" s="75" t="s">
        <v>1662</v>
      </c>
      <c r="I531" s="73" t="s">
        <v>254</v>
      </c>
    </row>
    <row r="532" customFormat="false" ht="15" hidden="false" customHeight="false" outlineLevel="0" collapsed="false">
      <c r="A532" s="72" t="n">
        <v>528</v>
      </c>
      <c r="B532" s="72" t="s">
        <v>1663</v>
      </c>
      <c r="C532" s="72" t="s">
        <v>265</v>
      </c>
      <c r="D532" s="72" t="s">
        <v>1255</v>
      </c>
      <c r="E532" s="73" t="s">
        <v>722</v>
      </c>
      <c r="F532" s="72" t="s">
        <v>723</v>
      </c>
      <c r="G532" s="74" t="n">
        <v>153185</v>
      </c>
      <c r="H532" s="75" t="s">
        <v>1664</v>
      </c>
      <c r="I532" s="73" t="s">
        <v>254</v>
      </c>
    </row>
    <row r="533" customFormat="false" ht="15" hidden="false" customHeight="false" outlineLevel="0" collapsed="false">
      <c r="A533" s="72" t="n">
        <v>529</v>
      </c>
      <c r="B533" s="72" t="s">
        <v>1665</v>
      </c>
      <c r="C533" s="72" t="s">
        <v>265</v>
      </c>
      <c r="D533" s="72" t="s">
        <v>1255</v>
      </c>
      <c r="E533" s="73" t="s">
        <v>722</v>
      </c>
      <c r="F533" s="72" t="s">
        <v>723</v>
      </c>
      <c r="G533" s="74" t="n">
        <v>88751</v>
      </c>
      <c r="H533" s="75" t="s">
        <v>1666</v>
      </c>
      <c r="I533" s="73" t="s">
        <v>254</v>
      </c>
    </row>
    <row r="534" customFormat="false" ht="15" hidden="false" customHeight="false" outlineLevel="0" collapsed="false">
      <c r="A534" s="72" t="n">
        <v>530</v>
      </c>
      <c r="B534" s="72" t="s">
        <v>1667</v>
      </c>
      <c r="C534" s="72" t="s">
        <v>265</v>
      </c>
      <c r="D534" s="72" t="s">
        <v>1255</v>
      </c>
      <c r="E534" s="73" t="s">
        <v>722</v>
      </c>
      <c r="F534" s="72" t="s">
        <v>723</v>
      </c>
      <c r="G534" s="74" t="n">
        <v>100625</v>
      </c>
      <c r="H534" s="75" t="s">
        <v>1668</v>
      </c>
      <c r="I534" s="73" t="s">
        <v>254</v>
      </c>
    </row>
    <row r="535" customFormat="false" ht="15" hidden="false" customHeight="false" outlineLevel="0" collapsed="false">
      <c r="A535" s="72" t="n">
        <v>531</v>
      </c>
      <c r="B535" s="72" t="s">
        <v>1669</v>
      </c>
      <c r="C535" s="72" t="s">
        <v>265</v>
      </c>
      <c r="D535" s="72" t="s">
        <v>1255</v>
      </c>
      <c r="E535" s="73" t="s">
        <v>722</v>
      </c>
      <c r="F535" s="72" t="s">
        <v>723</v>
      </c>
      <c r="G535" s="74" t="n">
        <v>100711</v>
      </c>
      <c r="H535" s="75" t="s">
        <v>1670</v>
      </c>
      <c r="I535" s="73" t="s">
        <v>254</v>
      </c>
    </row>
    <row r="536" customFormat="false" ht="15" hidden="false" customHeight="false" outlineLevel="0" collapsed="false">
      <c r="A536" s="72" t="n">
        <v>532</v>
      </c>
      <c r="B536" s="72" t="s">
        <v>1671</v>
      </c>
      <c r="C536" s="72" t="s">
        <v>265</v>
      </c>
      <c r="D536" s="72" t="s">
        <v>1255</v>
      </c>
      <c r="E536" s="73" t="s">
        <v>722</v>
      </c>
      <c r="F536" s="72" t="s">
        <v>723</v>
      </c>
      <c r="G536" s="74" t="n">
        <v>116719</v>
      </c>
      <c r="H536" s="75" t="s">
        <v>1672</v>
      </c>
      <c r="I536" s="73" t="s">
        <v>254</v>
      </c>
    </row>
    <row r="537" customFormat="false" ht="15" hidden="false" customHeight="false" outlineLevel="0" collapsed="false">
      <c r="A537" s="72" t="n">
        <v>533</v>
      </c>
      <c r="B537" s="72" t="s">
        <v>1673</v>
      </c>
      <c r="C537" s="72" t="s">
        <v>265</v>
      </c>
      <c r="D537" s="72" t="s">
        <v>1255</v>
      </c>
      <c r="E537" s="73" t="s">
        <v>722</v>
      </c>
      <c r="F537" s="72" t="s">
        <v>723</v>
      </c>
      <c r="G537" s="74" t="n">
        <v>61084</v>
      </c>
      <c r="H537" s="75" t="s">
        <v>1674</v>
      </c>
      <c r="I537" s="73" t="s">
        <v>254</v>
      </c>
    </row>
    <row r="538" customFormat="false" ht="15" hidden="false" customHeight="false" outlineLevel="0" collapsed="false">
      <c r="A538" s="72" t="n">
        <v>534</v>
      </c>
      <c r="B538" s="72" t="s">
        <v>1675</v>
      </c>
      <c r="C538" s="72" t="s">
        <v>265</v>
      </c>
      <c r="D538" s="72" t="s">
        <v>1255</v>
      </c>
      <c r="E538" s="73" t="s">
        <v>722</v>
      </c>
      <c r="F538" s="72" t="s">
        <v>723</v>
      </c>
      <c r="G538" s="74" t="n">
        <v>79216</v>
      </c>
      <c r="H538" s="75" t="s">
        <v>1676</v>
      </c>
      <c r="I538" s="73" t="s">
        <v>254</v>
      </c>
    </row>
    <row r="539" customFormat="false" ht="15" hidden="false" customHeight="false" outlineLevel="0" collapsed="false">
      <c r="A539" s="72" t="n">
        <v>535</v>
      </c>
      <c r="B539" s="72" t="s">
        <v>1677</v>
      </c>
      <c r="C539" s="72" t="s">
        <v>265</v>
      </c>
      <c r="D539" s="72" t="s">
        <v>1255</v>
      </c>
      <c r="E539" s="73" t="s">
        <v>722</v>
      </c>
      <c r="F539" s="72" t="s">
        <v>723</v>
      </c>
      <c r="G539" s="74" t="n">
        <v>99866</v>
      </c>
      <c r="H539" s="75" t="s">
        <v>1678</v>
      </c>
      <c r="I539" s="73" t="s">
        <v>254</v>
      </c>
    </row>
    <row r="540" customFormat="false" ht="15" hidden="false" customHeight="false" outlineLevel="0" collapsed="false">
      <c r="A540" s="72" t="n">
        <v>536</v>
      </c>
      <c r="B540" s="72" t="s">
        <v>1679</v>
      </c>
      <c r="C540" s="72" t="s">
        <v>265</v>
      </c>
      <c r="D540" s="72" t="s">
        <v>1255</v>
      </c>
      <c r="E540" s="73" t="s">
        <v>722</v>
      </c>
      <c r="F540" s="72" t="s">
        <v>723</v>
      </c>
      <c r="G540" s="74" t="n">
        <v>108777</v>
      </c>
      <c r="H540" s="75" t="s">
        <v>1680</v>
      </c>
      <c r="I540" s="73" t="s">
        <v>254</v>
      </c>
    </row>
    <row r="541" customFormat="false" ht="15" hidden="false" customHeight="false" outlineLevel="0" collapsed="false">
      <c r="A541" s="72" t="n">
        <v>537</v>
      </c>
      <c r="B541" s="72" t="s">
        <v>1681</v>
      </c>
      <c r="C541" s="72" t="s">
        <v>265</v>
      </c>
      <c r="D541" s="72" t="s">
        <v>1255</v>
      </c>
      <c r="E541" s="73" t="s">
        <v>722</v>
      </c>
      <c r="F541" s="72" t="s">
        <v>723</v>
      </c>
      <c r="G541" s="74" t="n">
        <v>60279</v>
      </c>
      <c r="H541" s="75" t="s">
        <v>1682</v>
      </c>
      <c r="I541" s="73" t="s">
        <v>254</v>
      </c>
    </row>
    <row r="542" customFormat="false" ht="15" hidden="false" customHeight="false" outlineLevel="0" collapsed="false">
      <c r="A542" s="72" t="n">
        <v>538</v>
      </c>
      <c r="B542" s="72" t="s">
        <v>1683</v>
      </c>
      <c r="C542" s="72" t="s">
        <v>265</v>
      </c>
      <c r="D542" s="72" t="s">
        <v>1255</v>
      </c>
      <c r="E542" s="73" t="s">
        <v>722</v>
      </c>
      <c r="F542" s="72" t="s">
        <v>723</v>
      </c>
      <c r="G542" s="74" t="n">
        <v>69773</v>
      </c>
      <c r="H542" s="75" t="s">
        <v>1684</v>
      </c>
      <c r="I542" s="73" t="s">
        <v>254</v>
      </c>
    </row>
    <row r="543" customFormat="false" ht="15" hidden="false" customHeight="false" outlineLevel="0" collapsed="false">
      <c r="A543" s="72" t="n">
        <v>539</v>
      </c>
      <c r="B543" s="72" t="s">
        <v>1685</v>
      </c>
      <c r="C543" s="72" t="s">
        <v>265</v>
      </c>
      <c r="D543" s="72" t="s">
        <v>1255</v>
      </c>
      <c r="E543" s="73" t="s">
        <v>722</v>
      </c>
      <c r="F543" s="72" t="s">
        <v>723</v>
      </c>
      <c r="G543" s="74" t="n">
        <v>36910</v>
      </c>
      <c r="H543" s="75" t="s">
        <v>1686</v>
      </c>
      <c r="I543" s="73" t="s">
        <v>254</v>
      </c>
    </row>
    <row r="544" customFormat="false" ht="15" hidden="false" customHeight="false" outlineLevel="0" collapsed="false">
      <c r="A544" s="72" t="n">
        <v>540</v>
      </c>
      <c r="B544" s="72" t="s">
        <v>1687</v>
      </c>
      <c r="C544" s="72" t="s">
        <v>265</v>
      </c>
      <c r="D544" s="72" t="s">
        <v>1255</v>
      </c>
      <c r="E544" s="73" t="s">
        <v>722</v>
      </c>
      <c r="F544" s="72" t="s">
        <v>723</v>
      </c>
      <c r="G544" s="74" t="n">
        <v>42099</v>
      </c>
      <c r="H544" s="75" t="s">
        <v>1688</v>
      </c>
      <c r="I544" s="73" t="s">
        <v>254</v>
      </c>
    </row>
    <row r="545" customFormat="false" ht="15" hidden="false" customHeight="false" outlineLevel="0" collapsed="false">
      <c r="A545" s="72" t="n">
        <v>541</v>
      </c>
      <c r="B545" s="72" t="s">
        <v>1689</v>
      </c>
      <c r="C545" s="72" t="s">
        <v>265</v>
      </c>
      <c r="D545" s="72" t="s">
        <v>1255</v>
      </c>
      <c r="E545" s="73" t="s">
        <v>722</v>
      </c>
      <c r="F545" s="72" t="s">
        <v>723</v>
      </c>
      <c r="G545" s="74" t="n">
        <v>41457</v>
      </c>
      <c r="H545" s="75" t="s">
        <v>1690</v>
      </c>
      <c r="I545" s="73" t="s">
        <v>254</v>
      </c>
    </row>
    <row r="546" customFormat="false" ht="15" hidden="false" customHeight="false" outlineLevel="0" collapsed="false">
      <c r="A546" s="72" t="n">
        <v>542</v>
      </c>
      <c r="B546" s="72" t="s">
        <v>1691</v>
      </c>
      <c r="C546" s="72" t="s">
        <v>265</v>
      </c>
      <c r="D546" s="72" t="s">
        <v>1255</v>
      </c>
      <c r="E546" s="73" t="s">
        <v>722</v>
      </c>
      <c r="F546" s="72" t="s">
        <v>723</v>
      </c>
      <c r="G546" s="74" t="n">
        <v>47349</v>
      </c>
      <c r="H546" s="75" t="s">
        <v>1692</v>
      </c>
      <c r="I546" s="73" t="s">
        <v>254</v>
      </c>
    </row>
    <row r="547" customFormat="false" ht="15" hidden="false" customHeight="false" outlineLevel="0" collapsed="false">
      <c r="A547" s="72" t="n">
        <v>543</v>
      </c>
      <c r="B547" s="72" t="s">
        <v>1693</v>
      </c>
      <c r="C547" s="72" t="s">
        <v>265</v>
      </c>
      <c r="D547" s="72" t="s">
        <v>1255</v>
      </c>
      <c r="E547" s="73" t="s">
        <v>254</v>
      </c>
      <c r="F547" s="72" t="s">
        <v>583</v>
      </c>
      <c r="G547" s="74" t="n">
        <v>2078</v>
      </c>
      <c r="H547" s="75" t="s">
        <v>1694</v>
      </c>
      <c r="I547" s="73" t="s">
        <v>254</v>
      </c>
    </row>
    <row r="548" customFormat="false" ht="15" hidden="false" customHeight="false" outlineLevel="0" collapsed="false">
      <c r="A548" s="72" t="n">
        <v>544</v>
      </c>
      <c r="B548" s="72" t="s">
        <v>1695</v>
      </c>
      <c r="C548" s="72" t="s">
        <v>259</v>
      </c>
      <c r="D548" s="73" t="s">
        <v>582</v>
      </c>
      <c r="E548" s="73" t="s">
        <v>254</v>
      </c>
      <c r="F548" s="72" t="s">
        <v>583</v>
      </c>
      <c r="G548" s="74" t="n">
        <v>13121</v>
      </c>
      <c r="H548" s="75" t="s">
        <v>1696</v>
      </c>
      <c r="I548" s="73" t="s">
        <v>254</v>
      </c>
    </row>
    <row r="549" customFormat="false" ht="15" hidden="false" customHeight="false" outlineLevel="0" collapsed="false">
      <c r="A549" s="72" t="n">
        <v>545</v>
      </c>
      <c r="B549" s="72" t="s">
        <v>1697</v>
      </c>
      <c r="C549" s="72" t="s">
        <v>265</v>
      </c>
      <c r="D549" s="72" t="s">
        <v>1255</v>
      </c>
      <c r="E549" s="73" t="s">
        <v>578</v>
      </c>
      <c r="F549" s="73" t="s">
        <v>579</v>
      </c>
      <c r="G549" s="74" t="n">
        <v>1</v>
      </c>
      <c r="H549" s="75" t="s">
        <v>1698</v>
      </c>
      <c r="I549" s="73" t="s">
        <v>254</v>
      </c>
    </row>
    <row r="550" customFormat="false" ht="15" hidden="false" customHeight="false" outlineLevel="0" collapsed="false">
      <c r="A550" s="72" t="n">
        <v>546</v>
      </c>
      <c r="B550" s="72" t="s">
        <v>1699</v>
      </c>
      <c r="C550" s="72" t="s">
        <v>265</v>
      </c>
      <c r="D550" s="72" t="s">
        <v>1255</v>
      </c>
      <c r="E550" s="73" t="s">
        <v>578</v>
      </c>
      <c r="F550" s="73" t="s">
        <v>579</v>
      </c>
      <c r="G550" s="74" t="n">
        <v>1</v>
      </c>
      <c r="H550" s="75" t="s">
        <v>1698</v>
      </c>
      <c r="I550" s="73" t="s">
        <v>254</v>
      </c>
    </row>
    <row r="551" customFormat="false" ht="15" hidden="false" customHeight="false" outlineLevel="0" collapsed="false">
      <c r="A551" s="72" t="n">
        <v>547</v>
      </c>
      <c r="B551" s="72" t="s">
        <v>1700</v>
      </c>
      <c r="C551" s="72" t="s">
        <v>265</v>
      </c>
      <c r="D551" s="72" t="s">
        <v>1255</v>
      </c>
      <c r="E551" s="73" t="s">
        <v>578</v>
      </c>
      <c r="F551" s="73" t="s">
        <v>579</v>
      </c>
      <c r="G551" s="74" t="n">
        <v>1</v>
      </c>
      <c r="H551" s="75" t="s">
        <v>1698</v>
      </c>
      <c r="I551" s="73" t="s">
        <v>254</v>
      </c>
    </row>
    <row r="552" customFormat="false" ht="15" hidden="false" customHeight="false" outlineLevel="0" collapsed="false">
      <c r="A552" s="72" t="n">
        <v>548</v>
      </c>
      <c r="B552" s="72" t="s">
        <v>1701</v>
      </c>
      <c r="C552" s="72" t="s">
        <v>265</v>
      </c>
      <c r="D552" s="72" t="s">
        <v>1255</v>
      </c>
      <c r="E552" s="73" t="s">
        <v>578</v>
      </c>
      <c r="F552" s="73" t="s">
        <v>579</v>
      </c>
      <c r="G552" s="74" t="n">
        <v>1</v>
      </c>
      <c r="H552" s="75" t="s">
        <v>1698</v>
      </c>
      <c r="I552" s="73" t="s">
        <v>254</v>
      </c>
    </row>
    <row r="553" customFormat="false" ht="15" hidden="false" customHeight="false" outlineLevel="0" collapsed="false">
      <c r="A553" s="72" t="n">
        <v>549</v>
      </c>
      <c r="B553" s="72" t="s">
        <v>1702</v>
      </c>
      <c r="C553" s="72" t="s">
        <v>265</v>
      </c>
      <c r="D553" s="72" t="s">
        <v>1255</v>
      </c>
      <c r="E553" s="73" t="s">
        <v>578</v>
      </c>
      <c r="F553" s="73" t="s">
        <v>579</v>
      </c>
      <c r="G553" s="74" t="n">
        <v>1</v>
      </c>
      <c r="H553" s="75" t="s">
        <v>1698</v>
      </c>
      <c r="I553" s="73" t="s">
        <v>254</v>
      </c>
    </row>
    <row r="554" customFormat="false" ht="15" hidden="false" customHeight="false" outlineLevel="0" collapsed="false">
      <c r="A554" s="72" t="n">
        <v>550</v>
      </c>
      <c r="B554" s="72" t="s">
        <v>1703</v>
      </c>
      <c r="C554" s="72" t="s">
        <v>265</v>
      </c>
      <c r="D554" s="72" t="s">
        <v>1255</v>
      </c>
      <c r="E554" s="73" t="s">
        <v>578</v>
      </c>
      <c r="F554" s="73" t="s">
        <v>579</v>
      </c>
      <c r="G554" s="74" t="n">
        <v>1</v>
      </c>
      <c r="H554" s="75" t="s">
        <v>1698</v>
      </c>
      <c r="I554" s="73" t="s">
        <v>254</v>
      </c>
    </row>
    <row r="555" customFormat="false" ht="15" hidden="false" customHeight="false" outlineLevel="0" collapsed="false">
      <c r="A555" s="72" t="n">
        <v>551</v>
      </c>
      <c r="B555" s="72" t="s">
        <v>1704</v>
      </c>
      <c r="C555" s="72" t="s">
        <v>259</v>
      </c>
      <c r="D555" s="73" t="s">
        <v>582</v>
      </c>
      <c r="E555" s="73" t="s">
        <v>254</v>
      </c>
      <c r="F555" s="72" t="s">
        <v>583</v>
      </c>
      <c r="G555" s="74" t="n">
        <v>4772</v>
      </c>
      <c r="H555" s="75" t="s">
        <v>1705</v>
      </c>
      <c r="I555" s="73" t="s">
        <v>254</v>
      </c>
    </row>
    <row r="556" customFormat="false" ht="15" hidden="false" customHeight="false" outlineLevel="0" collapsed="false">
      <c r="A556" s="72" t="n">
        <v>552</v>
      </c>
      <c r="B556" s="72" t="s">
        <v>1706</v>
      </c>
      <c r="C556" s="72" t="s">
        <v>262</v>
      </c>
      <c r="D556" s="73" t="s">
        <v>1243</v>
      </c>
      <c r="E556" s="73" t="s">
        <v>254</v>
      </c>
      <c r="F556" s="72" t="s">
        <v>583</v>
      </c>
      <c r="G556" s="74" t="n">
        <v>30428</v>
      </c>
      <c r="H556" s="75" t="s">
        <v>1707</v>
      </c>
      <c r="I556" s="73" t="s">
        <v>254</v>
      </c>
    </row>
    <row r="557" customFormat="false" ht="15" hidden="false" customHeight="false" outlineLevel="0" collapsed="false">
      <c r="A557" s="72" t="n">
        <v>553</v>
      </c>
      <c r="B557" s="72" t="s">
        <v>1708</v>
      </c>
      <c r="C557" s="72" t="s">
        <v>262</v>
      </c>
      <c r="D557" s="73" t="s">
        <v>1243</v>
      </c>
      <c r="E557" s="73" t="s">
        <v>254</v>
      </c>
      <c r="F557" s="72" t="s">
        <v>583</v>
      </c>
      <c r="G557" s="74" t="n">
        <v>39335</v>
      </c>
      <c r="H557" s="75" t="s">
        <v>1709</v>
      </c>
      <c r="I557" s="73" t="s">
        <v>254</v>
      </c>
    </row>
    <row r="558" customFormat="false" ht="15" hidden="false" customHeight="false" outlineLevel="0" collapsed="false">
      <c r="A558" s="72" t="n">
        <v>554</v>
      </c>
      <c r="B558" s="72" t="s">
        <v>1710</v>
      </c>
      <c r="C558" s="72" t="s">
        <v>262</v>
      </c>
      <c r="D558" s="73" t="s">
        <v>1243</v>
      </c>
      <c r="E558" s="73" t="s">
        <v>254</v>
      </c>
      <c r="F558" s="72" t="s">
        <v>583</v>
      </c>
      <c r="G558" s="74" t="n">
        <v>28637</v>
      </c>
      <c r="H558" s="75" t="s">
        <v>1711</v>
      </c>
      <c r="I558" s="73" t="s">
        <v>254</v>
      </c>
    </row>
    <row r="559" customFormat="false" ht="15" hidden="false" customHeight="false" outlineLevel="0" collapsed="false">
      <c r="A559" s="72" t="n">
        <v>555</v>
      </c>
      <c r="B559" s="72" t="s">
        <v>1712</v>
      </c>
      <c r="C559" s="72" t="s">
        <v>262</v>
      </c>
      <c r="D559" s="73" t="s">
        <v>1243</v>
      </c>
      <c r="E559" s="73" t="s">
        <v>254</v>
      </c>
      <c r="F559" s="72" t="s">
        <v>583</v>
      </c>
      <c r="G559" s="74" t="n">
        <v>35511</v>
      </c>
      <c r="H559" s="75" t="s">
        <v>1713</v>
      </c>
      <c r="I559" s="73" t="s">
        <v>254</v>
      </c>
    </row>
    <row r="560" customFormat="false" ht="15" hidden="false" customHeight="false" outlineLevel="0" collapsed="false">
      <c r="A560" s="72" t="n">
        <v>556</v>
      </c>
      <c r="B560" s="72" t="s">
        <v>1714</v>
      </c>
      <c r="C560" s="72" t="s">
        <v>262</v>
      </c>
      <c r="D560" s="73" t="s">
        <v>1243</v>
      </c>
      <c r="E560" s="73" t="s">
        <v>254</v>
      </c>
      <c r="F560" s="72" t="s">
        <v>583</v>
      </c>
      <c r="G560" s="74" t="n">
        <v>45774</v>
      </c>
      <c r="H560" s="75" t="s">
        <v>1715</v>
      </c>
      <c r="I560" s="73" t="s">
        <v>254</v>
      </c>
    </row>
    <row r="561" customFormat="false" ht="15" hidden="false" customHeight="false" outlineLevel="0" collapsed="false">
      <c r="A561" s="72" t="n">
        <v>557</v>
      </c>
      <c r="B561" s="72" t="s">
        <v>1716</v>
      </c>
      <c r="C561" s="72" t="s">
        <v>262</v>
      </c>
      <c r="D561" s="73" t="s">
        <v>1243</v>
      </c>
      <c r="E561" s="73" t="s">
        <v>254</v>
      </c>
      <c r="F561" s="72" t="s">
        <v>583</v>
      </c>
      <c r="G561" s="74" t="n">
        <v>15817</v>
      </c>
      <c r="H561" s="75" t="s">
        <v>1717</v>
      </c>
      <c r="I561" s="73" t="s">
        <v>254</v>
      </c>
    </row>
    <row r="562" customFormat="false" ht="15" hidden="false" customHeight="false" outlineLevel="0" collapsed="false">
      <c r="A562" s="72" t="n">
        <v>558</v>
      </c>
      <c r="B562" s="72" t="s">
        <v>1718</v>
      </c>
      <c r="C562" s="72" t="s">
        <v>262</v>
      </c>
      <c r="D562" s="73" t="s">
        <v>1243</v>
      </c>
      <c r="E562" s="73" t="s">
        <v>254</v>
      </c>
      <c r="F562" s="72" t="s">
        <v>583</v>
      </c>
      <c r="G562" s="74" t="n">
        <v>19833</v>
      </c>
      <c r="H562" s="75" t="s">
        <v>1719</v>
      </c>
      <c r="I562" s="73" t="s">
        <v>254</v>
      </c>
    </row>
    <row r="563" customFormat="false" ht="15" hidden="false" customHeight="false" outlineLevel="0" collapsed="false">
      <c r="A563" s="72" t="n">
        <v>559</v>
      </c>
      <c r="B563" s="72" t="s">
        <v>1720</v>
      </c>
      <c r="C563" s="72" t="s">
        <v>262</v>
      </c>
      <c r="D563" s="73" t="s">
        <v>1243</v>
      </c>
      <c r="E563" s="73" t="s">
        <v>254</v>
      </c>
      <c r="F563" s="72" t="s">
        <v>583</v>
      </c>
      <c r="G563" s="74" t="n">
        <v>13355</v>
      </c>
      <c r="H563" s="75" t="s">
        <v>1721</v>
      </c>
      <c r="I563" s="73" t="s">
        <v>254</v>
      </c>
    </row>
    <row r="564" customFormat="false" ht="15" hidden="false" customHeight="false" outlineLevel="0" collapsed="false">
      <c r="A564" s="72" t="n">
        <v>560</v>
      </c>
      <c r="B564" s="72" t="s">
        <v>1722</v>
      </c>
      <c r="C564" s="72" t="s">
        <v>248</v>
      </c>
      <c r="D564" s="72" t="s">
        <v>577</v>
      </c>
      <c r="E564" s="73" t="s">
        <v>722</v>
      </c>
      <c r="F564" s="72" t="s">
        <v>723</v>
      </c>
      <c r="G564" s="74" t="n">
        <v>52570</v>
      </c>
      <c r="H564" s="75" t="s">
        <v>1723</v>
      </c>
      <c r="I564" s="73" t="s">
        <v>250</v>
      </c>
    </row>
    <row r="565" customFormat="false" ht="15" hidden="false" customHeight="false" outlineLevel="0" collapsed="false">
      <c r="A565" s="72" t="n">
        <v>561</v>
      </c>
      <c r="B565" s="72" t="s">
        <v>1724</v>
      </c>
      <c r="C565" s="72" t="s">
        <v>248</v>
      </c>
      <c r="D565" s="72" t="s">
        <v>577</v>
      </c>
      <c r="E565" s="73" t="s">
        <v>722</v>
      </c>
      <c r="F565" s="72" t="s">
        <v>723</v>
      </c>
      <c r="G565" s="74" t="n">
        <v>895</v>
      </c>
      <c r="H565" s="75" t="s">
        <v>1725</v>
      </c>
      <c r="I565" s="73" t="s">
        <v>250</v>
      </c>
    </row>
    <row r="566" customFormat="false" ht="15" hidden="false" customHeight="false" outlineLevel="0" collapsed="false">
      <c r="A566" s="72" t="n">
        <v>562</v>
      </c>
      <c r="B566" s="72" t="s">
        <v>1726</v>
      </c>
      <c r="C566" s="72" t="s">
        <v>248</v>
      </c>
      <c r="D566" s="72" t="s">
        <v>577</v>
      </c>
      <c r="E566" s="73" t="s">
        <v>722</v>
      </c>
      <c r="F566" s="72" t="s">
        <v>723</v>
      </c>
      <c r="G566" s="74" t="n">
        <v>2943</v>
      </c>
      <c r="H566" s="75" t="s">
        <v>1727</v>
      </c>
      <c r="I566" s="73" t="s">
        <v>250</v>
      </c>
    </row>
    <row r="567" customFormat="false" ht="15" hidden="false" customHeight="false" outlineLevel="0" collapsed="false">
      <c r="A567" s="72" t="n">
        <v>563</v>
      </c>
      <c r="B567" s="72" t="s">
        <v>1728</v>
      </c>
      <c r="C567" s="72" t="s">
        <v>248</v>
      </c>
      <c r="D567" s="72" t="s">
        <v>577</v>
      </c>
      <c r="E567" s="73" t="s">
        <v>722</v>
      </c>
      <c r="F567" s="72" t="s">
        <v>723</v>
      </c>
      <c r="G567" s="74" t="n">
        <v>67060</v>
      </c>
      <c r="H567" s="75" t="s">
        <v>724</v>
      </c>
      <c r="I567" s="73" t="s">
        <v>250</v>
      </c>
    </row>
    <row r="568" customFormat="false" ht="15" hidden="false" customHeight="false" outlineLevel="0" collapsed="false">
      <c r="A568" s="72" t="n">
        <v>564</v>
      </c>
      <c r="B568" s="72" t="s">
        <v>1729</v>
      </c>
      <c r="C568" s="72" t="s">
        <v>248</v>
      </c>
      <c r="D568" s="72" t="s">
        <v>577</v>
      </c>
      <c r="E568" s="73" t="s">
        <v>722</v>
      </c>
      <c r="F568" s="72" t="s">
        <v>723</v>
      </c>
      <c r="G568" s="74" t="n">
        <v>186403</v>
      </c>
      <c r="H568" s="75" t="s">
        <v>726</v>
      </c>
      <c r="I568" s="73" t="s">
        <v>250</v>
      </c>
    </row>
    <row r="569" customFormat="false" ht="15" hidden="false" customHeight="false" outlineLevel="0" collapsed="false">
      <c r="A569" s="72" t="n">
        <v>565</v>
      </c>
      <c r="B569" s="72" t="s">
        <v>1730</v>
      </c>
      <c r="C569" s="72" t="s">
        <v>248</v>
      </c>
      <c r="D569" s="72" t="s">
        <v>577</v>
      </c>
      <c r="E569" s="73" t="s">
        <v>722</v>
      </c>
      <c r="F569" s="72" t="s">
        <v>723</v>
      </c>
      <c r="G569" s="74" t="n">
        <v>375948</v>
      </c>
      <c r="H569" s="75" t="s">
        <v>1731</v>
      </c>
      <c r="I569" s="73" t="s">
        <v>250</v>
      </c>
    </row>
    <row r="570" customFormat="false" ht="15" hidden="false" customHeight="false" outlineLevel="0" collapsed="false">
      <c r="A570" s="72" t="n">
        <v>566</v>
      </c>
      <c r="B570" s="72" t="s">
        <v>1732</v>
      </c>
      <c r="C570" s="72" t="s">
        <v>248</v>
      </c>
      <c r="D570" s="72" t="s">
        <v>577</v>
      </c>
      <c r="E570" s="73" t="s">
        <v>1733</v>
      </c>
      <c r="F570" s="72" t="s">
        <v>1734</v>
      </c>
      <c r="G570" s="74" t="n">
        <v>847</v>
      </c>
      <c r="H570" s="75" t="s">
        <v>1735</v>
      </c>
      <c r="I570" s="73" t="s">
        <v>250</v>
      </c>
    </row>
    <row r="571" customFormat="false" ht="15" hidden="false" customHeight="false" outlineLevel="0" collapsed="false">
      <c r="A571" s="72" t="n">
        <v>567</v>
      </c>
      <c r="B571" s="72" t="s">
        <v>1736</v>
      </c>
      <c r="C571" s="72" t="s">
        <v>248</v>
      </c>
      <c r="D571" s="72" t="s">
        <v>577</v>
      </c>
      <c r="E571" s="73" t="s">
        <v>1112</v>
      </c>
      <c r="F571" s="72" t="s">
        <v>1113</v>
      </c>
      <c r="G571" s="74" t="n">
        <v>435</v>
      </c>
      <c r="H571" s="75" t="s">
        <v>1737</v>
      </c>
      <c r="I571" s="73" t="s">
        <v>250</v>
      </c>
    </row>
    <row r="572" customFormat="false" ht="15" hidden="false" customHeight="false" outlineLevel="0" collapsed="false">
      <c r="A572" s="72" t="n">
        <v>568</v>
      </c>
      <c r="B572" s="72" t="s">
        <v>1738</v>
      </c>
      <c r="C572" s="72" t="s">
        <v>243</v>
      </c>
      <c r="D572" s="73" t="s">
        <v>1739</v>
      </c>
      <c r="E572" s="73" t="s">
        <v>1112</v>
      </c>
      <c r="F572" s="72" t="s">
        <v>1113</v>
      </c>
      <c r="G572" s="74" t="n">
        <v>455</v>
      </c>
      <c r="H572" s="75" t="s">
        <v>1740</v>
      </c>
      <c r="I572" s="73" t="s">
        <v>246</v>
      </c>
    </row>
    <row r="573" customFormat="false" ht="15" hidden="false" customHeight="false" outlineLevel="0" collapsed="false">
      <c r="A573" s="72" t="n">
        <v>569</v>
      </c>
      <c r="B573" s="72" t="s">
        <v>1741</v>
      </c>
      <c r="C573" s="72" t="s">
        <v>243</v>
      </c>
      <c r="D573" s="73" t="s">
        <v>1739</v>
      </c>
      <c r="E573" s="73" t="s">
        <v>254</v>
      </c>
      <c r="F573" s="72" t="s">
        <v>583</v>
      </c>
      <c r="G573" s="74" t="n">
        <v>1911</v>
      </c>
      <c r="H573" s="75" t="s">
        <v>1742</v>
      </c>
      <c r="I573" s="73" t="s">
        <v>246</v>
      </c>
    </row>
    <row r="574" customFormat="false" ht="15" hidden="false" customHeight="false" outlineLevel="0" collapsed="false">
      <c r="A574" s="72" t="n">
        <v>570</v>
      </c>
      <c r="B574" s="72" t="s">
        <v>1743</v>
      </c>
      <c r="C574" s="72" t="s">
        <v>243</v>
      </c>
      <c r="D574" s="73" t="s">
        <v>1739</v>
      </c>
      <c r="E574" s="73" t="s">
        <v>254</v>
      </c>
      <c r="F574" s="72" t="s">
        <v>583</v>
      </c>
      <c r="G574" s="74" t="n">
        <v>3070</v>
      </c>
      <c r="H574" s="75" t="s">
        <v>1744</v>
      </c>
      <c r="I574" s="73" t="s">
        <v>246</v>
      </c>
    </row>
    <row r="575" customFormat="false" ht="15" hidden="false" customHeight="false" outlineLevel="0" collapsed="false">
      <c r="A575" s="72" t="n">
        <v>571</v>
      </c>
      <c r="B575" s="72" t="s">
        <v>1745</v>
      </c>
      <c r="C575" s="72" t="s">
        <v>243</v>
      </c>
      <c r="D575" s="73" t="s">
        <v>1739</v>
      </c>
      <c r="E575" s="73" t="s">
        <v>1112</v>
      </c>
      <c r="F575" s="72" t="s">
        <v>1113</v>
      </c>
      <c r="G575" s="74" t="n">
        <v>455</v>
      </c>
      <c r="H575" s="75" t="s">
        <v>1740</v>
      </c>
      <c r="I575" s="73" t="s">
        <v>246</v>
      </c>
    </row>
    <row r="576" customFormat="false" ht="15" hidden="false" customHeight="false" outlineLevel="0" collapsed="false">
      <c r="A576" s="72" t="n">
        <v>572</v>
      </c>
      <c r="B576" s="72" t="s">
        <v>1746</v>
      </c>
      <c r="C576" s="72" t="s">
        <v>243</v>
      </c>
      <c r="D576" s="73" t="s">
        <v>1739</v>
      </c>
      <c r="E576" s="73" t="s">
        <v>1112</v>
      </c>
      <c r="F576" s="72" t="s">
        <v>1113</v>
      </c>
      <c r="G576" s="74" t="n">
        <v>445</v>
      </c>
      <c r="H576" s="75" t="s">
        <v>1747</v>
      </c>
      <c r="I576" s="73" t="s">
        <v>246</v>
      </c>
    </row>
    <row r="577" customFormat="false" ht="15" hidden="false" customHeight="false" outlineLevel="0" collapsed="false">
      <c r="A577" s="72" t="n">
        <v>573</v>
      </c>
      <c r="B577" s="72" t="s">
        <v>1748</v>
      </c>
      <c r="C577" s="72" t="s">
        <v>243</v>
      </c>
      <c r="D577" s="73" t="s">
        <v>1739</v>
      </c>
      <c r="E577" s="73" t="s">
        <v>1112</v>
      </c>
      <c r="F577" s="72" t="s">
        <v>1113</v>
      </c>
      <c r="G577" s="74" t="n">
        <v>447</v>
      </c>
      <c r="H577" s="75" t="s">
        <v>1749</v>
      </c>
      <c r="I577" s="73" t="s">
        <v>246</v>
      </c>
    </row>
    <row r="578" customFormat="false" ht="15" hidden="false" customHeight="false" outlineLevel="0" collapsed="false">
      <c r="A578" s="72" t="n">
        <v>574</v>
      </c>
      <c r="B578" s="72" t="s">
        <v>1750</v>
      </c>
      <c r="C578" s="72" t="s">
        <v>243</v>
      </c>
      <c r="D578" s="73" t="s">
        <v>1739</v>
      </c>
      <c r="E578" s="73" t="s">
        <v>1112</v>
      </c>
      <c r="F578" s="72" t="s">
        <v>1113</v>
      </c>
      <c r="G578" s="74" t="n">
        <v>446</v>
      </c>
      <c r="H578" s="75" t="s">
        <v>1751</v>
      </c>
      <c r="I578" s="73" t="s">
        <v>246</v>
      </c>
    </row>
    <row r="579" customFormat="false" ht="15" hidden="false" customHeight="false" outlineLevel="0" collapsed="false">
      <c r="A579" s="72" t="n">
        <v>575</v>
      </c>
      <c r="B579" s="72" t="s">
        <v>1752</v>
      </c>
      <c r="C579" s="72" t="s">
        <v>243</v>
      </c>
      <c r="D579" s="73" t="s">
        <v>1739</v>
      </c>
      <c r="E579" s="73" t="s">
        <v>1112</v>
      </c>
      <c r="F579" s="72" t="s">
        <v>1113</v>
      </c>
      <c r="G579" s="74" t="n">
        <v>446</v>
      </c>
      <c r="H579" s="75" t="s">
        <v>1753</v>
      </c>
      <c r="I579" s="73" t="s">
        <v>246</v>
      </c>
    </row>
    <row r="580" customFormat="false" ht="15" hidden="false" customHeight="false" outlineLevel="0" collapsed="false">
      <c r="A580" s="72" t="n">
        <v>576</v>
      </c>
      <c r="B580" s="72" t="s">
        <v>1754</v>
      </c>
      <c r="C580" s="72" t="s">
        <v>243</v>
      </c>
      <c r="D580" s="73" t="s">
        <v>1739</v>
      </c>
      <c r="E580" s="73" t="s">
        <v>1112</v>
      </c>
      <c r="F580" s="72" t="s">
        <v>1113</v>
      </c>
      <c r="G580" s="74" t="n">
        <v>445</v>
      </c>
      <c r="H580" s="75" t="s">
        <v>1755</v>
      </c>
      <c r="I580" s="73" t="s">
        <v>246</v>
      </c>
    </row>
    <row r="581" customFormat="false" ht="15" hidden="false" customHeight="false" outlineLevel="0" collapsed="false">
      <c r="A581" s="72" t="n">
        <v>577</v>
      </c>
      <c r="B581" s="72" t="s">
        <v>1756</v>
      </c>
      <c r="C581" s="72" t="s">
        <v>243</v>
      </c>
      <c r="D581" s="73" t="s">
        <v>1739</v>
      </c>
      <c r="E581" s="73" t="s">
        <v>1112</v>
      </c>
      <c r="F581" s="72" t="s">
        <v>1113</v>
      </c>
      <c r="G581" s="74" t="n">
        <v>445</v>
      </c>
      <c r="H581" s="75" t="s">
        <v>1757</v>
      </c>
      <c r="I581" s="73" t="s">
        <v>246</v>
      </c>
    </row>
    <row r="582" customFormat="false" ht="15" hidden="false" customHeight="false" outlineLevel="0" collapsed="false">
      <c r="A582" s="72" t="n">
        <v>578</v>
      </c>
      <c r="B582" s="72" t="s">
        <v>1758</v>
      </c>
      <c r="C582" s="72" t="s">
        <v>243</v>
      </c>
      <c r="D582" s="73" t="s">
        <v>1739</v>
      </c>
      <c r="E582" s="73" t="s">
        <v>1112</v>
      </c>
      <c r="F582" s="72" t="s">
        <v>1113</v>
      </c>
      <c r="G582" s="74" t="n">
        <v>445</v>
      </c>
      <c r="H582" s="75" t="s">
        <v>1759</v>
      </c>
      <c r="I582" s="73" t="s">
        <v>246</v>
      </c>
    </row>
    <row r="583" customFormat="false" ht="15" hidden="false" customHeight="false" outlineLevel="0" collapsed="false">
      <c r="A583" s="72" t="n">
        <v>579</v>
      </c>
      <c r="B583" s="72" t="s">
        <v>1760</v>
      </c>
      <c r="C583" s="72" t="s">
        <v>243</v>
      </c>
      <c r="D583" s="73" t="s">
        <v>1739</v>
      </c>
      <c r="E583" s="73" t="s">
        <v>1112</v>
      </c>
      <c r="F583" s="72" t="s">
        <v>1113</v>
      </c>
      <c r="G583" s="74" t="n">
        <v>445</v>
      </c>
      <c r="H583" s="75" t="s">
        <v>1761</v>
      </c>
      <c r="I583" s="73" t="s">
        <v>246</v>
      </c>
    </row>
    <row r="584" customFormat="false" ht="15" hidden="false" customHeight="false" outlineLevel="0" collapsed="false">
      <c r="A584" s="72" t="n">
        <v>580</v>
      </c>
      <c r="B584" s="72" t="s">
        <v>1762</v>
      </c>
      <c r="C584" s="72" t="s">
        <v>243</v>
      </c>
      <c r="D584" s="73" t="s">
        <v>1739</v>
      </c>
      <c r="E584" s="73" t="s">
        <v>1112</v>
      </c>
      <c r="F584" s="72" t="s">
        <v>1113</v>
      </c>
      <c r="G584" s="74" t="n">
        <v>445</v>
      </c>
      <c r="H584" s="75" t="s">
        <v>1763</v>
      </c>
      <c r="I584" s="73" t="s">
        <v>246</v>
      </c>
    </row>
    <row r="585" customFormat="false" ht="15" hidden="false" customHeight="false" outlineLevel="0" collapsed="false">
      <c r="A585" s="72" t="n">
        <v>581</v>
      </c>
      <c r="B585" s="72" t="s">
        <v>1764</v>
      </c>
      <c r="C585" s="72" t="s">
        <v>243</v>
      </c>
      <c r="D585" s="73" t="s">
        <v>1739</v>
      </c>
      <c r="E585" s="73" t="s">
        <v>1112</v>
      </c>
      <c r="F585" s="72" t="s">
        <v>1113</v>
      </c>
      <c r="G585" s="74" t="n">
        <v>445</v>
      </c>
      <c r="H585" s="75" t="s">
        <v>1765</v>
      </c>
      <c r="I585" s="73" t="s">
        <v>246</v>
      </c>
    </row>
    <row r="586" customFormat="false" ht="15" hidden="false" customHeight="false" outlineLevel="0" collapsed="false">
      <c r="A586" s="72" t="n">
        <v>582</v>
      </c>
      <c r="B586" s="72" t="s">
        <v>1766</v>
      </c>
      <c r="C586" s="72" t="s">
        <v>243</v>
      </c>
      <c r="D586" s="73" t="s">
        <v>1739</v>
      </c>
      <c r="E586" s="73" t="s">
        <v>1112</v>
      </c>
      <c r="F586" s="72" t="s">
        <v>1113</v>
      </c>
      <c r="G586" s="74" t="n">
        <v>445</v>
      </c>
      <c r="H586" s="75" t="s">
        <v>1767</v>
      </c>
      <c r="I586" s="73" t="s">
        <v>246</v>
      </c>
    </row>
    <row r="587" customFormat="false" ht="15" hidden="false" customHeight="false" outlineLevel="0" collapsed="false">
      <c r="A587" s="72" t="n">
        <v>583</v>
      </c>
      <c r="B587" s="72" t="s">
        <v>1768</v>
      </c>
      <c r="C587" s="72" t="s">
        <v>243</v>
      </c>
      <c r="D587" s="73" t="s">
        <v>1739</v>
      </c>
      <c r="E587" s="73" t="s">
        <v>1112</v>
      </c>
      <c r="F587" s="72" t="s">
        <v>1113</v>
      </c>
      <c r="G587" s="74" t="n">
        <v>445</v>
      </c>
      <c r="H587" s="75" t="s">
        <v>1769</v>
      </c>
      <c r="I587" s="73" t="s">
        <v>246</v>
      </c>
    </row>
    <row r="588" customFormat="false" ht="15" hidden="false" customHeight="false" outlineLevel="0" collapsed="false">
      <c r="A588" s="72" t="n">
        <v>584</v>
      </c>
      <c r="B588" s="72" t="s">
        <v>1770</v>
      </c>
      <c r="C588" s="72" t="s">
        <v>243</v>
      </c>
      <c r="D588" s="73" t="s">
        <v>1739</v>
      </c>
      <c r="E588" s="73" t="s">
        <v>1112</v>
      </c>
      <c r="F588" s="72" t="s">
        <v>1113</v>
      </c>
      <c r="G588" s="74" t="n">
        <v>453</v>
      </c>
      <c r="H588" s="75" t="s">
        <v>1771</v>
      </c>
      <c r="I588" s="73" t="s">
        <v>246</v>
      </c>
    </row>
    <row r="589" customFormat="false" ht="15" hidden="false" customHeight="false" outlineLevel="0" collapsed="false">
      <c r="A589" s="72" t="n">
        <v>585</v>
      </c>
      <c r="B589" s="72" t="s">
        <v>1772</v>
      </c>
      <c r="C589" s="72" t="s">
        <v>243</v>
      </c>
      <c r="D589" s="73" t="s">
        <v>1739</v>
      </c>
      <c r="E589" s="73" t="s">
        <v>1112</v>
      </c>
      <c r="F589" s="72" t="s">
        <v>1113</v>
      </c>
      <c r="G589" s="74" t="n">
        <v>453</v>
      </c>
      <c r="H589" s="75" t="s">
        <v>1773</v>
      </c>
      <c r="I589" s="73" t="s">
        <v>246</v>
      </c>
    </row>
    <row r="590" customFormat="false" ht="15" hidden="false" customHeight="false" outlineLevel="0" collapsed="false">
      <c r="A590" s="72" t="n">
        <v>586</v>
      </c>
      <c r="B590" s="72" t="s">
        <v>1774</v>
      </c>
      <c r="C590" s="72" t="s">
        <v>243</v>
      </c>
      <c r="D590" s="73" t="s">
        <v>1739</v>
      </c>
      <c r="E590" s="73" t="s">
        <v>1112</v>
      </c>
      <c r="F590" s="72" t="s">
        <v>1113</v>
      </c>
      <c r="G590" s="74" t="n">
        <v>453</v>
      </c>
      <c r="H590" s="75" t="s">
        <v>1775</v>
      </c>
      <c r="I590" s="73" t="s">
        <v>246</v>
      </c>
    </row>
    <row r="591" customFormat="false" ht="15" hidden="false" customHeight="false" outlineLevel="0" collapsed="false">
      <c r="A591" s="72" t="n">
        <v>587</v>
      </c>
      <c r="B591" s="72" t="s">
        <v>1776</v>
      </c>
      <c r="C591" s="72" t="s">
        <v>243</v>
      </c>
      <c r="D591" s="73" t="s">
        <v>1739</v>
      </c>
      <c r="E591" s="73" t="s">
        <v>1112</v>
      </c>
      <c r="F591" s="72" t="s">
        <v>1113</v>
      </c>
      <c r="G591" s="74" t="n">
        <v>453</v>
      </c>
      <c r="H591" s="75" t="s">
        <v>1777</v>
      </c>
      <c r="I591" s="73" t="s">
        <v>246</v>
      </c>
    </row>
    <row r="592" customFormat="false" ht="15" hidden="false" customHeight="false" outlineLevel="0" collapsed="false">
      <c r="A592" s="72" t="n">
        <v>588</v>
      </c>
      <c r="B592" s="72" t="s">
        <v>1778</v>
      </c>
      <c r="C592" s="72" t="s">
        <v>243</v>
      </c>
      <c r="D592" s="73" t="s">
        <v>1739</v>
      </c>
      <c r="E592" s="73" t="s">
        <v>1112</v>
      </c>
      <c r="F592" s="72" t="s">
        <v>1113</v>
      </c>
      <c r="G592" s="74" t="n">
        <v>453</v>
      </c>
      <c r="H592" s="75" t="s">
        <v>1779</v>
      </c>
      <c r="I592" s="73" t="s">
        <v>246</v>
      </c>
    </row>
    <row r="593" customFormat="false" ht="15" hidden="false" customHeight="false" outlineLevel="0" collapsed="false">
      <c r="A593" s="72" t="n">
        <v>589</v>
      </c>
      <c r="B593" s="72" t="s">
        <v>1780</v>
      </c>
      <c r="C593" s="72" t="s">
        <v>243</v>
      </c>
      <c r="D593" s="73" t="s">
        <v>1739</v>
      </c>
      <c r="E593" s="73" t="s">
        <v>1112</v>
      </c>
      <c r="F593" s="72" t="s">
        <v>1113</v>
      </c>
      <c r="G593" s="74" t="n">
        <v>454</v>
      </c>
      <c r="H593" s="75" t="s">
        <v>1781</v>
      </c>
      <c r="I593" s="73" t="s">
        <v>246</v>
      </c>
    </row>
    <row r="594" customFormat="false" ht="15" hidden="false" customHeight="false" outlineLevel="0" collapsed="false">
      <c r="A594" s="72" t="n">
        <v>590</v>
      </c>
      <c r="B594" s="72" t="s">
        <v>1782</v>
      </c>
      <c r="C594" s="72" t="s">
        <v>243</v>
      </c>
      <c r="D594" s="73" t="s">
        <v>1739</v>
      </c>
      <c r="E594" s="73" t="s">
        <v>1112</v>
      </c>
      <c r="F594" s="72" t="s">
        <v>1113</v>
      </c>
      <c r="G594" s="74" t="n">
        <v>454</v>
      </c>
      <c r="H594" s="75" t="s">
        <v>1783</v>
      </c>
      <c r="I594" s="73" t="s">
        <v>246</v>
      </c>
    </row>
    <row r="595" customFormat="false" ht="15" hidden="false" customHeight="false" outlineLevel="0" collapsed="false">
      <c r="A595" s="72" t="n">
        <v>591</v>
      </c>
      <c r="B595" s="72" t="s">
        <v>1784</v>
      </c>
      <c r="C595" s="72" t="s">
        <v>243</v>
      </c>
      <c r="D595" s="73" t="s">
        <v>1739</v>
      </c>
      <c r="E595" s="73" t="s">
        <v>1112</v>
      </c>
      <c r="F595" s="72" t="s">
        <v>1113</v>
      </c>
      <c r="G595" s="74" t="n">
        <v>454</v>
      </c>
      <c r="H595" s="75" t="s">
        <v>1785</v>
      </c>
      <c r="I595" s="73" t="s">
        <v>246</v>
      </c>
    </row>
    <row r="596" customFormat="false" ht="15" hidden="false" customHeight="false" outlineLevel="0" collapsed="false">
      <c r="A596" s="72" t="n">
        <v>592</v>
      </c>
      <c r="B596" s="72" t="s">
        <v>1786</v>
      </c>
      <c r="C596" s="72" t="s">
        <v>243</v>
      </c>
      <c r="D596" s="73" t="s">
        <v>1739</v>
      </c>
      <c r="E596" s="73" t="s">
        <v>1112</v>
      </c>
      <c r="F596" s="72" t="s">
        <v>1113</v>
      </c>
      <c r="G596" s="74" t="n">
        <v>454</v>
      </c>
      <c r="H596" s="75" t="s">
        <v>1787</v>
      </c>
      <c r="I596" s="73" t="s">
        <v>246</v>
      </c>
    </row>
    <row r="597" customFormat="false" ht="15" hidden="false" customHeight="false" outlineLevel="0" collapsed="false">
      <c r="A597" s="72" t="n">
        <v>593</v>
      </c>
      <c r="B597" s="72" t="s">
        <v>1788</v>
      </c>
      <c r="C597" s="72" t="s">
        <v>243</v>
      </c>
      <c r="D597" s="73" t="s">
        <v>1739</v>
      </c>
      <c r="E597" s="73" t="s">
        <v>1112</v>
      </c>
      <c r="F597" s="72" t="s">
        <v>1113</v>
      </c>
      <c r="G597" s="74" t="n">
        <v>454</v>
      </c>
      <c r="H597" s="75" t="s">
        <v>1789</v>
      </c>
      <c r="I597" s="73" t="s">
        <v>246</v>
      </c>
    </row>
    <row r="598" customFormat="false" ht="15" hidden="false" customHeight="false" outlineLevel="0" collapsed="false">
      <c r="A598" s="72" t="n">
        <v>594</v>
      </c>
      <c r="B598" s="72" t="s">
        <v>1790</v>
      </c>
      <c r="C598" s="72" t="s">
        <v>243</v>
      </c>
      <c r="D598" s="73" t="s">
        <v>1739</v>
      </c>
      <c r="E598" s="73" t="s">
        <v>1112</v>
      </c>
      <c r="F598" s="72" t="s">
        <v>1113</v>
      </c>
      <c r="G598" s="74" t="n">
        <v>454</v>
      </c>
      <c r="H598" s="75" t="s">
        <v>1791</v>
      </c>
      <c r="I598" s="73" t="s">
        <v>246</v>
      </c>
    </row>
    <row r="599" customFormat="false" ht="15" hidden="false" customHeight="false" outlineLevel="0" collapsed="false">
      <c r="A599" s="72" t="n">
        <v>595</v>
      </c>
      <c r="B599" s="72" t="s">
        <v>1792</v>
      </c>
      <c r="C599" s="72" t="s">
        <v>243</v>
      </c>
      <c r="D599" s="73" t="s">
        <v>1739</v>
      </c>
      <c r="E599" s="73" t="s">
        <v>1112</v>
      </c>
      <c r="F599" s="72" t="s">
        <v>1113</v>
      </c>
      <c r="G599" s="74" t="n">
        <v>454</v>
      </c>
      <c r="H599" s="75" t="s">
        <v>1793</v>
      </c>
      <c r="I599" s="73" t="s">
        <v>246</v>
      </c>
    </row>
    <row r="600" customFormat="false" ht="15" hidden="false" customHeight="false" outlineLevel="0" collapsed="false">
      <c r="A600" s="72" t="n">
        <v>596</v>
      </c>
      <c r="B600" s="72" t="s">
        <v>1794</v>
      </c>
      <c r="C600" s="72" t="s">
        <v>243</v>
      </c>
      <c r="D600" s="73" t="s">
        <v>1739</v>
      </c>
      <c r="E600" s="73" t="s">
        <v>1112</v>
      </c>
      <c r="F600" s="72" t="s">
        <v>1113</v>
      </c>
      <c r="G600" s="74" t="n">
        <v>455</v>
      </c>
      <c r="H600" s="75" t="s">
        <v>1795</v>
      </c>
      <c r="I600" s="73" t="s">
        <v>246</v>
      </c>
    </row>
    <row r="601" customFormat="false" ht="15" hidden="false" customHeight="false" outlineLevel="0" collapsed="false">
      <c r="A601" s="72" t="n">
        <v>597</v>
      </c>
      <c r="B601" s="72" t="s">
        <v>1796</v>
      </c>
      <c r="C601" s="72" t="s">
        <v>243</v>
      </c>
      <c r="D601" s="73" t="s">
        <v>1739</v>
      </c>
      <c r="E601" s="73" t="s">
        <v>1112</v>
      </c>
      <c r="F601" s="72" t="s">
        <v>1113</v>
      </c>
      <c r="G601" s="74" t="n">
        <v>455</v>
      </c>
      <c r="H601" s="75" t="s">
        <v>1740</v>
      </c>
      <c r="I601" s="73" t="s">
        <v>246</v>
      </c>
    </row>
    <row r="602" customFormat="false" ht="15" hidden="false" customHeight="false" outlineLevel="0" collapsed="false">
      <c r="A602" s="72" t="n">
        <v>598</v>
      </c>
      <c r="B602" s="72" t="s">
        <v>1797</v>
      </c>
      <c r="C602" s="72" t="s">
        <v>243</v>
      </c>
      <c r="D602" s="73" t="s">
        <v>1739</v>
      </c>
      <c r="E602" s="73" t="s">
        <v>1112</v>
      </c>
      <c r="F602" s="72" t="s">
        <v>1113</v>
      </c>
      <c r="G602" s="74" t="n">
        <v>120</v>
      </c>
      <c r="H602" s="75" t="s">
        <v>1798</v>
      </c>
      <c r="I602" s="73" t="s">
        <v>246</v>
      </c>
    </row>
    <row r="603" customFormat="false" ht="15" hidden="false" customHeight="false" outlineLevel="0" collapsed="false">
      <c r="A603" s="72" t="n">
        <v>599</v>
      </c>
      <c r="B603" s="72" t="s">
        <v>1799</v>
      </c>
      <c r="C603" s="72" t="s">
        <v>248</v>
      </c>
      <c r="D603" s="72" t="s">
        <v>577</v>
      </c>
      <c r="E603" s="73" t="s">
        <v>617</v>
      </c>
      <c r="F603" s="72" t="s">
        <v>834</v>
      </c>
      <c r="G603" s="74" t="n">
        <v>1227</v>
      </c>
      <c r="H603" s="75" t="s">
        <v>1800</v>
      </c>
      <c r="I603" s="73" t="s">
        <v>250</v>
      </c>
    </row>
    <row r="604" customFormat="false" ht="15" hidden="false" customHeight="false" outlineLevel="0" collapsed="false">
      <c r="A604" s="72" t="n">
        <v>600</v>
      </c>
      <c r="B604" s="72" t="s">
        <v>1801</v>
      </c>
      <c r="C604" s="72" t="s">
        <v>228</v>
      </c>
      <c r="D604" s="72" t="s">
        <v>1802</v>
      </c>
      <c r="E604" s="73" t="s">
        <v>578</v>
      </c>
      <c r="F604" s="73" t="s">
        <v>579</v>
      </c>
      <c r="G604" s="74" t="n">
        <v>456</v>
      </c>
      <c r="H604" s="75" t="s">
        <v>1803</v>
      </c>
      <c r="I604" s="73" t="s">
        <v>148</v>
      </c>
    </row>
    <row r="605" customFormat="false" ht="15" hidden="false" customHeight="false" outlineLevel="0" collapsed="false">
      <c r="A605" s="72" t="n">
        <v>601</v>
      </c>
      <c r="B605" s="72" t="s">
        <v>1804</v>
      </c>
      <c r="C605" s="72" t="s">
        <v>228</v>
      </c>
      <c r="D605" s="72" t="s">
        <v>1802</v>
      </c>
      <c r="E605" s="73" t="s">
        <v>578</v>
      </c>
      <c r="F605" s="72" t="s">
        <v>1113</v>
      </c>
      <c r="G605" s="74" t="n">
        <v>231</v>
      </c>
      <c r="H605" s="75" t="s">
        <v>1805</v>
      </c>
      <c r="I605" s="73" t="s">
        <v>148</v>
      </c>
    </row>
    <row r="606" customFormat="false" ht="15" hidden="false" customHeight="false" outlineLevel="0" collapsed="false">
      <c r="A606" s="72" t="n">
        <v>602</v>
      </c>
      <c r="B606" s="72" t="s">
        <v>1806</v>
      </c>
      <c r="C606" s="72" t="s">
        <v>259</v>
      </c>
      <c r="D606" s="73" t="s">
        <v>582</v>
      </c>
      <c r="E606" s="73" t="s">
        <v>254</v>
      </c>
      <c r="F606" s="72" t="s">
        <v>583</v>
      </c>
      <c r="G606" s="74" t="n">
        <v>1009</v>
      </c>
      <c r="H606" s="75" t="s">
        <v>1807</v>
      </c>
      <c r="I606" s="73" t="s">
        <v>254</v>
      </c>
    </row>
    <row r="607" customFormat="false" ht="15" hidden="false" customHeight="false" outlineLevel="0" collapsed="false">
      <c r="A607" s="72" t="n">
        <v>603</v>
      </c>
      <c r="B607" s="72" t="s">
        <v>1808</v>
      </c>
      <c r="C607" s="72" t="s">
        <v>237</v>
      </c>
      <c r="D607" s="73" t="s">
        <v>1809</v>
      </c>
      <c r="E607" s="73" t="s">
        <v>254</v>
      </c>
      <c r="F607" s="72" t="s">
        <v>583</v>
      </c>
      <c r="G607" s="74" t="n">
        <v>1047</v>
      </c>
      <c r="H607" s="75" t="s">
        <v>1810</v>
      </c>
      <c r="I607" s="73" t="s">
        <v>152</v>
      </c>
    </row>
    <row r="608" customFormat="false" ht="15" hidden="false" customHeight="false" outlineLevel="0" collapsed="false">
      <c r="A608" s="72" t="n">
        <v>604</v>
      </c>
      <c r="B608" s="72" t="s">
        <v>1811</v>
      </c>
      <c r="C608" s="72" t="s">
        <v>237</v>
      </c>
      <c r="D608" s="73" t="s">
        <v>1809</v>
      </c>
      <c r="E608" s="73" t="s">
        <v>722</v>
      </c>
      <c r="F608" s="72" t="s">
        <v>723</v>
      </c>
      <c r="G608" s="74" t="n">
        <v>1941745</v>
      </c>
      <c r="H608" s="75" t="s">
        <v>1812</v>
      </c>
      <c r="I608" s="73" t="s">
        <v>152</v>
      </c>
    </row>
    <row r="609" customFormat="false" ht="15" hidden="false" customHeight="false" outlineLevel="0" collapsed="false">
      <c r="A609" s="72" t="n">
        <v>605</v>
      </c>
      <c r="B609" s="72" t="s">
        <v>1813</v>
      </c>
      <c r="C609" s="72" t="s">
        <v>237</v>
      </c>
      <c r="D609" s="73" t="s">
        <v>1809</v>
      </c>
      <c r="E609" s="73" t="s">
        <v>722</v>
      </c>
      <c r="F609" s="72" t="s">
        <v>723</v>
      </c>
      <c r="G609" s="74" t="n">
        <v>1967022</v>
      </c>
      <c r="H609" s="75" t="s">
        <v>1814</v>
      </c>
      <c r="I609" s="73" t="s">
        <v>152</v>
      </c>
    </row>
    <row r="610" customFormat="false" ht="15" hidden="false" customHeight="false" outlineLevel="0" collapsed="false">
      <c r="A610" s="72" t="n">
        <v>606</v>
      </c>
      <c r="B610" s="72" t="s">
        <v>1815</v>
      </c>
      <c r="C610" s="72" t="s">
        <v>237</v>
      </c>
      <c r="D610" s="73" t="s">
        <v>1809</v>
      </c>
      <c r="E610" s="73" t="s">
        <v>722</v>
      </c>
      <c r="F610" s="72" t="s">
        <v>723</v>
      </c>
      <c r="G610" s="74" t="n">
        <v>1845496</v>
      </c>
      <c r="H610" s="75" t="s">
        <v>1816</v>
      </c>
      <c r="I610" s="73" t="s">
        <v>152</v>
      </c>
    </row>
    <row r="611" customFormat="false" ht="15" hidden="false" customHeight="false" outlineLevel="0" collapsed="false">
      <c r="A611" s="72" t="n">
        <v>607</v>
      </c>
      <c r="B611" s="72" t="s">
        <v>1817</v>
      </c>
      <c r="C611" s="72" t="s">
        <v>237</v>
      </c>
      <c r="D611" s="73" t="s">
        <v>1809</v>
      </c>
      <c r="E611" s="73" t="s">
        <v>722</v>
      </c>
      <c r="F611" s="72" t="s">
        <v>723</v>
      </c>
      <c r="G611" s="74" t="n">
        <v>1949534</v>
      </c>
      <c r="H611" s="75" t="s">
        <v>1818</v>
      </c>
      <c r="I611" s="73" t="s">
        <v>152</v>
      </c>
    </row>
    <row r="612" customFormat="false" ht="15" hidden="false" customHeight="false" outlineLevel="0" collapsed="false">
      <c r="A612" s="72" t="n">
        <v>608</v>
      </c>
      <c r="B612" s="72" t="s">
        <v>1819</v>
      </c>
      <c r="C612" s="72" t="s">
        <v>237</v>
      </c>
      <c r="D612" s="73" t="s">
        <v>1809</v>
      </c>
      <c r="E612" s="73" t="s">
        <v>722</v>
      </c>
      <c r="F612" s="72" t="s">
        <v>723</v>
      </c>
      <c r="G612" s="74" t="n">
        <v>1921705</v>
      </c>
      <c r="H612" s="75" t="s">
        <v>1820</v>
      </c>
      <c r="I612" s="73" t="s">
        <v>152</v>
      </c>
    </row>
    <row r="613" customFormat="false" ht="15" hidden="false" customHeight="false" outlineLevel="0" collapsed="false">
      <c r="A613" s="72" t="n">
        <v>609</v>
      </c>
      <c r="B613" s="72" t="s">
        <v>1821</v>
      </c>
      <c r="C613" s="72" t="s">
        <v>237</v>
      </c>
      <c r="D613" s="73" t="s">
        <v>1809</v>
      </c>
      <c r="E613" s="73" t="s">
        <v>578</v>
      </c>
      <c r="F613" s="73" t="s">
        <v>579</v>
      </c>
      <c r="G613" s="74" t="n">
        <v>0</v>
      </c>
      <c r="H613" s="75" t="s">
        <v>580</v>
      </c>
      <c r="I613" s="73" t="s">
        <v>152</v>
      </c>
    </row>
    <row r="614" customFormat="false" ht="15" hidden="false" customHeight="false" outlineLevel="0" collapsed="false">
      <c r="A614" s="72" t="n">
        <v>610</v>
      </c>
      <c r="B614" s="72" t="s">
        <v>1822</v>
      </c>
      <c r="C614" s="72" t="s">
        <v>237</v>
      </c>
      <c r="D614" s="73" t="s">
        <v>1809</v>
      </c>
      <c r="E614" s="73" t="s">
        <v>254</v>
      </c>
      <c r="F614" s="72" t="s">
        <v>583</v>
      </c>
      <c r="G614" s="74" t="n">
        <v>5903</v>
      </c>
      <c r="H614" s="75" t="s">
        <v>1823</v>
      </c>
      <c r="I614" s="73" t="s">
        <v>152</v>
      </c>
    </row>
    <row r="615" customFormat="false" ht="15" hidden="false" customHeight="false" outlineLevel="0" collapsed="false">
      <c r="A615" s="72" t="n">
        <v>611</v>
      </c>
      <c r="B615" s="72" t="s">
        <v>1824</v>
      </c>
      <c r="C615" s="72" t="s">
        <v>237</v>
      </c>
      <c r="D615" s="73" t="s">
        <v>1809</v>
      </c>
      <c r="E615" s="73" t="s">
        <v>722</v>
      </c>
      <c r="F615" s="72" t="s">
        <v>723</v>
      </c>
      <c r="G615" s="74" t="n">
        <v>1765669</v>
      </c>
      <c r="H615" s="75" t="s">
        <v>1825</v>
      </c>
      <c r="I615" s="73" t="s">
        <v>152</v>
      </c>
    </row>
    <row r="616" customFormat="false" ht="15" hidden="false" customHeight="false" outlineLevel="0" collapsed="false">
      <c r="A616" s="72" t="n">
        <v>612</v>
      </c>
      <c r="B616" s="72" t="s">
        <v>1826</v>
      </c>
      <c r="C616" s="72" t="s">
        <v>237</v>
      </c>
      <c r="D616" s="73" t="s">
        <v>1809</v>
      </c>
      <c r="E616" s="73" t="s">
        <v>722</v>
      </c>
      <c r="F616" s="72" t="s">
        <v>723</v>
      </c>
      <c r="G616" s="74" t="n">
        <v>2024689</v>
      </c>
      <c r="H616" s="75" t="s">
        <v>1827</v>
      </c>
      <c r="I616" s="73" t="s">
        <v>152</v>
      </c>
    </row>
    <row r="617" customFormat="false" ht="15" hidden="false" customHeight="false" outlineLevel="0" collapsed="false">
      <c r="A617" s="72" t="n">
        <v>613</v>
      </c>
      <c r="B617" s="72" t="s">
        <v>1828</v>
      </c>
      <c r="C617" s="72" t="s">
        <v>237</v>
      </c>
      <c r="D617" s="73" t="s">
        <v>1809</v>
      </c>
      <c r="E617" s="73" t="s">
        <v>722</v>
      </c>
      <c r="F617" s="72" t="s">
        <v>723</v>
      </c>
      <c r="G617" s="74" t="n">
        <v>1617631</v>
      </c>
      <c r="H617" s="75" t="s">
        <v>1829</v>
      </c>
      <c r="I617" s="73" t="s">
        <v>152</v>
      </c>
    </row>
    <row r="618" customFormat="false" ht="15" hidden="false" customHeight="false" outlineLevel="0" collapsed="false">
      <c r="A618" s="72" t="n">
        <v>614</v>
      </c>
      <c r="B618" s="72" t="s">
        <v>1830</v>
      </c>
      <c r="C618" s="72" t="s">
        <v>237</v>
      </c>
      <c r="D618" s="73" t="s">
        <v>1809</v>
      </c>
      <c r="E618" s="73" t="s">
        <v>722</v>
      </c>
      <c r="F618" s="72" t="s">
        <v>723</v>
      </c>
      <c r="G618" s="74" t="n">
        <v>2233932</v>
      </c>
      <c r="H618" s="75" t="s">
        <v>1831</v>
      </c>
      <c r="I618" s="73" t="s">
        <v>152</v>
      </c>
    </row>
    <row r="619" customFormat="false" ht="15" hidden="false" customHeight="false" outlineLevel="0" collapsed="false">
      <c r="A619" s="72" t="n">
        <v>615</v>
      </c>
      <c r="B619" s="72" t="s">
        <v>1832</v>
      </c>
      <c r="C619" s="72" t="s">
        <v>237</v>
      </c>
      <c r="D619" s="73" t="s">
        <v>1809</v>
      </c>
      <c r="E619" s="73" t="s">
        <v>722</v>
      </c>
      <c r="F619" s="72" t="s">
        <v>723</v>
      </c>
      <c r="G619" s="74" t="n">
        <v>2410411</v>
      </c>
      <c r="H619" s="75" t="s">
        <v>1833</v>
      </c>
      <c r="I619" s="73" t="s">
        <v>152</v>
      </c>
    </row>
    <row r="620" customFormat="false" ht="15" hidden="false" customHeight="false" outlineLevel="0" collapsed="false">
      <c r="A620" s="72" t="n">
        <v>616</v>
      </c>
      <c r="B620" s="72" t="s">
        <v>1834</v>
      </c>
      <c r="C620" s="72" t="s">
        <v>237</v>
      </c>
      <c r="D620" s="73" t="s">
        <v>1809</v>
      </c>
      <c r="E620" s="73" t="s">
        <v>722</v>
      </c>
      <c r="F620" s="72" t="s">
        <v>723</v>
      </c>
      <c r="G620" s="74" t="n">
        <v>2338275</v>
      </c>
      <c r="H620" s="75" t="s">
        <v>1835</v>
      </c>
      <c r="I620" s="73" t="s">
        <v>152</v>
      </c>
    </row>
    <row r="621" customFormat="false" ht="15" hidden="false" customHeight="false" outlineLevel="0" collapsed="false">
      <c r="A621" s="72" t="n">
        <v>617</v>
      </c>
      <c r="B621" s="72" t="s">
        <v>1836</v>
      </c>
      <c r="C621" s="72" t="s">
        <v>237</v>
      </c>
      <c r="D621" s="73" t="s">
        <v>1809</v>
      </c>
      <c r="E621" s="73" t="s">
        <v>722</v>
      </c>
      <c r="F621" s="72" t="s">
        <v>723</v>
      </c>
      <c r="G621" s="74" t="n">
        <v>2651777</v>
      </c>
      <c r="H621" s="75" t="s">
        <v>1837</v>
      </c>
      <c r="I621" s="73" t="s">
        <v>152</v>
      </c>
    </row>
    <row r="622" customFormat="false" ht="15" hidden="false" customHeight="false" outlineLevel="0" collapsed="false">
      <c r="A622" s="72" t="n">
        <v>618</v>
      </c>
      <c r="B622" s="72" t="s">
        <v>1838</v>
      </c>
      <c r="C622" s="72" t="s">
        <v>237</v>
      </c>
      <c r="D622" s="73" t="s">
        <v>1809</v>
      </c>
      <c r="E622" s="73" t="s">
        <v>722</v>
      </c>
      <c r="F622" s="72" t="s">
        <v>723</v>
      </c>
      <c r="G622" s="74" t="n">
        <v>2441543</v>
      </c>
      <c r="H622" s="75" t="s">
        <v>1839</v>
      </c>
      <c r="I622" s="73" t="s">
        <v>152</v>
      </c>
    </row>
    <row r="623" customFormat="false" ht="15" hidden="false" customHeight="false" outlineLevel="0" collapsed="false">
      <c r="A623" s="72" t="n">
        <v>619</v>
      </c>
      <c r="B623" s="72" t="s">
        <v>1840</v>
      </c>
      <c r="C623" s="72" t="s">
        <v>237</v>
      </c>
      <c r="D623" s="73" t="s">
        <v>1809</v>
      </c>
      <c r="E623" s="73" t="s">
        <v>722</v>
      </c>
      <c r="F623" s="72" t="s">
        <v>723</v>
      </c>
      <c r="G623" s="74" t="n">
        <v>1792723</v>
      </c>
      <c r="H623" s="75" t="s">
        <v>1841</v>
      </c>
      <c r="I623" s="73" t="s">
        <v>152</v>
      </c>
    </row>
    <row r="624" customFormat="false" ht="15" hidden="false" customHeight="false" outlineLevel="0" collapsed="false">
      <c r="A624" s="72" t="n">
        <v>620</v>
      </c>
      <c r="B624" s="72" t="s">
        <v>1842</v>
      </c>
      <c r="C624" s="72" t="s">
        <v>237</v>
      </c>
      <c r="D624" s="73" t="s">
        <v>1809</v>
      </c>
      <c r="E624" s="73" t="s">
        <v>578</v>
      </c>
      <c r="F624" s="73" t="s">
        <v>579</v>
      </c>
      <c r="G624" s="74" t="n">
        <v>0</v>
      </c>
      <c r="H624" s="75" t="s">
        <v>580</v>
      </c>
      <c r="I624" s="73" t="s">
        <v>152</v>
      </c>
    </row>
    <row r="625" customFormat="false" ht="15" hidden="false" customHeight="false" outlineLevel="0" collapsed="false">
      <c r="A625" s="72" t="n">
        <v>621</v>
      </c>
      <c r="B625" s="72" t="s">
        <v>1843</v>
      </c>
      <c r="C625" s="72" t="s">
        <v>237</v>
      </c>
      <c r="D625" s="73" t="s">
        <v>1809</v>
      </c>
      <c r="E625" s="73" t="s">
        <v>722</v>
      </c>
      <c r="F625" s="72" t="s">
        <v>723</v>
      </c>
      <c r="G625" s="74" t="n">
        <v>105289</v>
      </c>
      <c r="H625" s="75" t="s">
        <v>1844</v>
      </c>
      <c r="I625" s="73" t="s">
        <v>152</v>
      </c>
    </row>
    <row r="626" customFormat="false" ht="15" hidden="false" customHeight="false" outlineLevel="0" collapsed="false">
      <c r="A626" s="72" t="n">
        <v>622</v>
      </c>
      <c r="B626" s="72" t="s">
        <v>1845</v>
      </c>
      <c r="C626" s="72" t="s">
        <v>237</v>
      </c>
      <c r="D626" s="73" t="s">
        <v>1809</v>
      </c>
      <c r="E626" s="73" t="s">
        <v>722</v>
      </c>
      <c r="F626" s="72" t="s">
        <v>723</v>
      </c>
      <c r="G626" s="74" t="n">
        <v>126645</v>
      </c>
      <c r="H626" s="75" t="s">
        <v>1846</v>
      </c>
      <c r="I626" s="73" t="s">
        <v>152</v>
      </c>
    </row>
    <row r="627" customFormat="false" ht="15" hidden="false" customHeight="false" outlineLevel="0" collapsed="false">
      <c r="A627" s="72" t="n">
        <v>623</v>
      </c>
      <c r="B627" s="72" t="s">
        <v>1847</v>
      </c>
      <c r="C627" s="72" t="s">
        <v>237</v>
      </c>
      <c r="D627" s="73" t="s">
        <v>1809</v>
      </c>
      <c r="E627" s="73" t="s">
        <v>722</v>
      </c>
      <c r="F627" s="72" t="s">
        <v>723</v>
      </c>
      <c r="G627" s="74" t="n">
        <v>1133686</v>
      </c>
      <c r="H627" s="75" t="s">
        <v>1848</v>
      </c>
      <c r="I627" s="73" t="s">
        <v>152</v>
      </c>
    </row>
    <row r="628" customFormat="false" ht="15" hidden="false" customHeight="false" outlineLevel="0" collapsed="false">
      <c r="A628" s="72" t="n">
        <v>624</v>
      </c>
      <c r="B628" s="72" t="s">
        <v>1849</v>
      </c>
      <c r="C628" s="72" t="s">
        <v>237</v>
      </c>
      <c r="D628" s="73" t="s">
        <v>1809</v>
      </c>
      <c r="E628" s="73" t="s">
        <v>722</v>
      </c>
      <c r="F628" s="72" t="s">
        <v>723</v>
      </c>
      <c r="G628" s="74" t="n">
        <v>111940</v>
      </c>
      <c r="H628" s="75" t="s">
        <v>1850</v>
      </c>
      <c r="I628" s="73" t="s">
        <v>152</v>
      </c>
    </row>
    <row r="629" customFormat="false" ht="15" hidden="false" customHeight="false" outlineLevel="0" collapsed="false">
      <c r="A629" s="72" t="n">
        <v>625</v>
      </c>
      <c r="B629" s="72" t="s">
        <v>1851</v>
      </c>
      <c r="C629" s="72" t="s">
        <v>237</v>
      </c>
      <c r="D629" s="73" t="s">
        <v>1809</v>
      </c>
      <c r="E629" s="73" t="s">
        <v>722</v>
      </c>
      <c r="F629" s="72" t="s">
        <v>723</v>
      </c>
      <c r="G629" s="74" t="n">
        <v>170606</v>
      </c>
      <c r="H629" s="75" t="s">
        <v>1852</v>
      </c>
      <c r="I629" s="73" t="s">
        <v>152</v>
      </c>
    </row>
    <row r="630" customFormat="false" ht="15" hidden="false" customHeight="false" outlineLevel="0" collapsed="false">
      <c r="A630" s="72" t="n">
        <v>626</v>
      </c>
      <c r="B630" s="72" t="s">
        <v>1853</v>
      </c>
      <c r="C630" s="72" t="s">
        <v>237</v>
      </c>
      <c r="D630" s="73" t="s">
        <v>1809</v>
      </c>
      <c r="E630" s="73" t="s">
        <v>722</v>
      </c>
      <c r="F630" s="72" t="s">
        <v>723</v>
      </c>
      <c r="G630" s="74" t="n">
        <v>1221098</v>
      </c>
      <c r="H630" s="75" t="s">
        <v>1854</v>
      </c>
      <c r="I630" s="73" t="s">
        <v>152</v>
      </c>
    </row>
    <row r="631" customFormat="false" ht="15" hidden="false" customHeight="false" outlineLevel="0" collapsed="false">
      <c r="A631" s="72" t="n">
        <v>627</v>
      </c>
      <c r="B631" s="72" t="s">
        <v>1855</v>
      </c>
      <c r="C631" s="72" t="s">
        <v>225</v>
      </c>
      <c r="D631" s="72" t="s">
        <v>1856</v>
      </c>
      <c r="E631" s="73" t="s">
        <v>1733</v>
      </c>
      <c r="F631" s="72" t="s">
        <v>1734</v>
      </c>
      <c r="G631" s="74" t="n">
        <v>671</v>
      </c>
      <c r="H631" s="75" t="s">
        <v>1857</v>
      </c>
      <c r="I631" s="72" t="s">
        <v>166</v>
      </c>
    </row>
    <row r="632" customFormat="false" ht="15" hidden="false" customHeight="false" outlineLevel="0" collapsed="false">
      <c r="A632" s="72" t="n">
        <v>628</v>
      </c>
      <c r="B632" s="72" t="s">
        <v>1858</v>
      </c>
      <c r="C632" s="72" t="s">
        <v>228</v>
      </c>
      <c r="D632" s="72" t="s">
        <v>1802</v>
      </c>
      <c r="E632" s="73" t="s">
        <v>1112</v>
      </c>
      <c r="F632" s="72" t="s">
        <v>1113</v>
      </c>
      <c r="G632" s="74" t="n">
        <v>158555</v>
      </c>
      <c r="H632" s="75" t="s">
        <v>1859</v>
      </c>
      <c r="I632" s="73" t="s">
        <v>148</v>
      </c>
    </row>
    <row r="633" customFormat="false" ht="15" hidden="false" customHeight="false" outlineLevel="0" collapsed="false">
      <c r="A633" s="72" t="n">
        <v>629</v>
      </c>
      <c r="B633" s="72" t="s">
        <v>1860</v>
      </c>
      <c r="C633" s="72" t="s">
        <v>228</v>
      </c>
      <c r="D633" s="72" t="s">
        <v>1802</v>
      </c>
      <c r="E633" s="73" t="s">
        <v>1112</v>
      </c>
      <c r="F633" s="72" t="s">
        <v>1113</v>
      </c>
      <c r="G633" s="74" t="n">
        <v>12102</v>
      </c>
      <c r="H633" s="75" t="s">
        <v>1861</v>
      </c>
      <c r="I633" s="73" t="s">
        <v>148</v>
      </c>
    </row>
    <row r="634" customFormat="false" ht="15" hidden="false" customHeight="false" outlineLevel="0" collapsed="false">
      <c r="A634" s="72" t="n">
        <v>630</v>
      </c>
      <c r="B634" s="72" t="s">
        <v>1862</v>
      </c>
      <c r="C634" s="72" t="s">
        <v>216</v>
      </c>
      <c r="D634" s="73" t="s">
        <v>1863</v>
      </c>
      <c r="E634" s="73" t="s">
        <v>254</v>
      </c>
      <c r="F634" s="72" t="s">
        <v>583</v>
      </c>
      <c r="G634" s="74" t="n">
        <v>2745</v>
      </c>
      <c r="H634" s="75" t="s">
        <v>900</v>
      </c>
      <c r="I634" s="72" t="s">
        <v>166</v>
      </c>
    </row>
    <row r="635" customFormat="false" ht="15" hidden="false" customHeight="false" outlineLevel="0" collapsed="false">
      <c r="A635" s="72" t="n">
        <v>631</v>
      </c>
      <c r="B635" s="72" t="s">
        <v>1864</v>
      </c>
      <c r="C635" s="72" t="s">
        <v>201</v>
      </c>
      <c r="D635" s="72" t="s">
        <v>1865</v>
      </c>
      <c r="E635" s="73" t="s">
        <v>722</v>
      </c>
      <c r="F635" s="72" t="s">
        <v>843</v>
      </c>
      <c r="G635" s="74" t="n">
        <v>245912</v>
      </c>
      <c r="H635" s="75" t="s">
        <v>902</v>
      </c>
      <c r="I635" s="72" t="s">
        <v>166</v>
      </c>
    </row>
    <row r="636" customFormat="false" ht="15" hidden="false" customHeight="false" outlineLevel="0" collapsed="false">
      <c r="A636" s="72" t="n">
        <v>632</v>
      </c>
      <c r="B636" s="72" t="s">
        <v>1866</v>
      </c>
      <c r="C636" s="72" t="s">
        <v>201</v>
      </c>
      <c r="D636" s="72" t="s">
        <v>1865</v>
      </c>
      <c r="E636" s="73" t="s">
        <v>722</v>
      </c>
      <c r="F636" s="72" t="s">
        <v>843</v>
      </c>
      <c r="G636" s="74" t="n">
        <v>210624</v>
      </c>
      <c r="H636" s="75" t="s">
        <v>904</v>
      </c>
      <c r="I636" s="72" t="s">
        <v>166</v>
      </c>
    </row>
    <row r="637" customFormat="false" ht="15" hidden="false" customHeight="false" outlineLevel="0" collapsed="false">
      <c r="A637" s="72" t="n">
        <v>633</v>
      </c>
      <c r="B637" s="72" t="s">
        <v>1867</v>
      </c>
      <c r="C637" s="72" t="s">
        <v>201</v>
      </c>
      <c r="D637" s="72" t="s">
        <v>1865</v>
      </c>
      <c r="E637" s="73" t="s">
        <v>906</v>
      </c>
      <c r="F637" s="72" t="s">
        <v>907</v>
      </c>
      <c r="G637" s="74" t="n">
        <v>12288927</v>
      </c>
      <c r="H637" s="75" t="s">
        <v>908</v>
      </c>
      <c r="I637" s="72" t="s">
        <v>166</v>
      </c>
    </row>
    <row r="638" customFormat="false" ht="15" hidden="false" customHeight="false" outlineLevel="0" collapsed="false">
      <c r="A638" s="72" t="n">
        <v>634</v>
      </c>
      <c r="B638" s="72" t="s">
        <v>1868</v>
      </c>
      <c r="C638" s="72" t="s">
        <v>201</v>
      </c>
      <c r="D638" s="72" t="s">
        <v>1865</v>
      </c>
      <c r="E638" s="73" t="s">
        <v>906</v>
      </c>
      <c r="F638" s="72" t="s">
        <v>907</v>
      </c>
      <c r="G638" s="74" t="n">
        <v>15833015</v>
      </c>
      <c r="H638" s="75" t="s">
        <v>910</v>
      </c>
      <c r="I638" s="72" t="s">
        <v>166</v>
      </c>
    </row>
    <row r="639" customFormat="false" ht="15" hidden="false" customHeight="false" outlineLevel="0" collapsed="false">
      <c r="A639" s="72" t="n">
        <v>635</v>
      </c>
      <c r="B639" s="72" t="s">
        <v>1869</v>
      </c>
      <c r="C639" s="72" t="s">
        <v>201</v>
      </c>
      <c r="D639" s="72" t="s">
        <v>1865</v>
      </c>
      <c r="E639" s="73" t="s">
        <v>906</v>
      </c>
      <c r="F639" s="72" t="s">
        <v>907</v>
      </c>
      <c r="G639" s="74" t="n">
        <v>11627196</v>
      </c>
      <c r="H639" s="75" t="s">
        <v>912</v>
      </c>
      <c r="I639" s="72" t="s">
        <v>166</v>
      </c>
    </row>
    <row r="640" customFormat="false" ht="15" hidden="false" customHeight="false" outlineLevel="0" collapsed="false">
      <c r="A640" s="72" t="n">
        <v>636</v>
      </c>
      <c r="B640" s="72" t="s">
        <v>1870</v>
      </c>
      <c r="C640" s="72" t="s">
        <v>204</v>
      </c>
      <c r="D640" s="72" t="s">
        <v>1871</v>
      </c>
      <c r="E640" s="73" t="s">
        <v>722</v>
      </c>
      <c r="F640" s="72" t="s">
        <v>843</v>
      </c>
      <c r="G640" s="74" t="n">
        <v>102934</v>
      </c>
      <c r="H640" s="75" t="s">
        <v>914</v>
      </c>
      <c r="I640" s="72" t="s">
        <v>166</v>
      </c>
    </row>
    <row r="641" customFormat="false" ht="15" hidden="false" customHeight="false" outlineLevel="0" collapsed="false">
      <c r="A641" s="72" t="n">
        <v>637</v>
      </c>
      <c r="B641" s="72" t="s">
        <v>1872</v>
      </c>
      <c r="C641" s="72" t="s">
        <v>204</v>
      </c>
      <c r="D641" s="72" t="s">
        <v>1871</v>
      </c>
      <c r="E641" s="73" t="s">
        <v>722</v>
      </c>
      <c r="F641" s="72" t="s">
        <v>843</v>
      </c>
      <c r="G641" s="74" t="n">
        <v>102630</v>
      </c>
      <c r="H641" s="75" t="s">
        <v>916</v>
      </c>
      <c r="I641" s="72" t="s">
        <v>166</v>
      </c>
    </row>
    <row r="642" customFormat="false" ht="15" hidden="false" customHeight="false" outlineLevel="0" collapsed="false">
      <c r="A642" s="72" t="n">
        <v>638</v>
      </c>
      <c r="B642" s="72" t="s">
        <v>1873</v>
      </c>
      <c r="C642" s="72" t="s">
        <v>204</v>
      </c>
      <c r="D642" s="72" t="s">
        <v>1871</v>
      </c>
      <c r="E642" s="73" t="s">
        <v>722</v>
      </c>
      <c r="F642" s="72" t="s">
        <v>843</v>
      </c>
      <c r="G642" s="74" t="n">
        <v>108210</v>
      </c>
      <c r="H642" s="75" t="s">
        <v>918</v>
      </c>
      <c r="I642" s="72" t="s">
        <v>166</v>
      </c>
    </row>
    <row r="643" customFormat="false" ht="15" hidden="false" customHeight="false" outlineLevel="0" collapsed="false">
      <c r="A643" s="72" t="n">
        <v>639</v>
      </c>
      <c r="B643" s="72" t="s">
        <v>1874</v>
      </c>
      <c r="C643" s="72" t="s">
        <v>204</v>
      </c>
      <c r="D643" s="72" t="s">
        <v>1871</v>
      </c>
      <c r="E643" s="73" t="s">
        <v>722</v>
      </c>
      <c r="F643" s="72" t="s">
        <v>843</v>
      </c>
      <c r="G643" s="74" t="n">
        <v>109238</v>
      </c>
      <c r="H643" s="75" t="s">
        <v>920</v>
      </c>
      <c r="I643" s="72" t="s">
        <v>166</v>
      </c>
    </row>
    <row r="644" customFormat="false" ht="15" hidden="false" customHeight="false" outlineLevel="0" collapsed="false">
      <c r="A644" s="72" t="n">
        <v>640</v>
      </c>
      <c r="B644" s="72" t="s">
        <v>1875</v>
      </c>
      <c r="C644" s="72" t="s">
        <v>204</v>
      </c>
      <c r="D644" s="72" t="s">
        <v>1871</v>
      </c>
      <c r="E644" s="73" t="s">
        <v>722</v>
      </c>
      <c r="F644" s="72" t="s">
        <v>843</v>
      </c>
      <c r="G644" s="74" t="n">
        <v>232844</v>
      </c>
      <c r="H644" s="75" t="s">
        <v>922</v>
      </c>
      <c r="I644" s="72" t="s">
        <v>166</v>
      </c>
    </row>
    <row r="645" customFormat="false" ht="15" hidden="false" customHeight="false" outlineLevel="0" collapsed="false">
      <c r="A645" s="72" t="n">
        <v>641</v>
      </c>
      <c r="B645" s="72" t="s">
        <v>1876</v>
      </c>
      <c r="C645" s="72" t="s">
        <v>204</v>
      </c>
      <c r="D645" s="72" t="s">
        <v>1871</v>
      </c>
      <c r="E645" s="73" t="s">
        <v>722</v>
      </c>
      <c r="F645" s="72" t="s">
        <v>843</v>
      </c>
      <c r="G645" s="74" t="n">
        <v>311606</v>
      </c>
      <c r="H645" s="75" t="s">
        <v>924</v>
      </c>
      <c r="I645" s="72" t="s">
        <v>166</v>
      </c>
    </row>
    <row r="646" customFormat="false" ht="15" hidden="false" customHeight="false" outlineLevel="0" collapsed="false">
      <c r="A646" s="72" t="n">
        <v>642</v>
      </c>
      <c r="B646" s="72" t="s">
        <v>1877</v>
      </c>
      <c r="C646" s="72" t="s">
        <v>207</v>
      </c>
      <c r="D646" s="72" t="s">
        <v>1878</v>
      </c>
      <c r="E646" s="73" t="s">
        <v>254</v>
      </c>
      <c r="F646" s="72" t="s">
        <v>583</v>
      </c>
      <c r="G646" s="74" t="n">
        <v>13208</v>
      </c>
      <c r="H646" s="75" t="s">
        <v>926</v>
      </c>
      <c r="I646" s="72" t="s">
        <v>166</v>
      </c>
    </row>
    <row r="647" customFormat="false" ht="15" hidden="false" customHeight="false" outlineLevel="0" collapsed="false">
      <c r="A647" s="72" t="n">
        <v>643</v>
      </c>
      <c r="B647" s="72" t="s">
        <v>1879</v>
      </c>
      <c r="C647" s="72" t="s">
        <v>207</v>
      </c>
      <c r="D647" s="72" t="s">
        <v>1878</v>
      </c>
      <c r="E647" s="73" t="s">
        <v>928</v>
      </c>
      <c r="F647" s="72" t="s">
        <v>929</v>
      </c>
      <c r="G647" s="74" t="n">
        <v>116402</v>
      </c>
      <c r="H647" s="75" t="s">
        <v>930</v>
      </c>
      <c r="I647" s="72" t="s">
        <v>166</v>
      </c>
    </row>
    <row r="648" customFormat="false" ht="15" hidden="false" customHeight="false" outlineLevel="0" collapsed="false">
      <c r="A648" s="72" t="n">
        <v>644</v>
      </c>
      <c r="B648" s="72" t="s">
        <v>1880</v>
      </c>
      <c r="C648" s="72" t="s">
        <v>207</v>
      </c>
      <c r="D648" s="72" t="s">
        <v>1878</v>
      </c>
      <c r="E648" s="73" t="s">
        <v>928</v>
      </c>
      <c r="F648" s="72" t="s">
        <v>929</v>
      </c>
      <c r="G648" s="74" t="n">
        <v>106642</v>
      </c>
      <c r="H648" s="75" t="s">
        <v>932</v>
      </c>
      <c r="I648" s="72" t="s">
        <v>166</v>
      </c>
    </row>
    <row r="649" customFormat="false" ht="15" hidden="false" customHeight="false" outlineLevel="0" collapsed="false">
      <c r="A649" s="72" t="n">
        <v>645</v>
      </c>
      <c r="B649" s="72" t="s">
        <v>1881</v>
      </c>
      <c r="C649" s="72" t="s">
        <v>207</v>
      </c>
      <c r="D649" s="72" t="s">
        <v>1878</v>
      </c>
      <c r="E649" s="73" t="s">
        <v>928</v>
      </c>
      <c r="F649" s="72" t="s">
        <v>929</v>
      </c>
      <c r="G649" s="74" t="n">
        <v>125868</v>
      </c>
      <c r="H649" s="75" t="s">
        <v>934</v>
      </c>
      <c r="I649" s="72" t="s">
        <v>166</v>
      </c>
    </row>
    <row r="650" customFormat="false" ht="15" hidden="false" customHeight="false" outlineLevel="0" collapsed="false">
      <c r="A650" s="72" t="n">
        <v>646</v>
      </c>
      <c r="B650" s="72" t="s">
        <v>1882</v>
      </c>
      <c r="C650" s="72" t="s">
        <v>207</v>
      </c>
      <c r="D650" s="72" t="s">
        <v>1878</v>
      </c>
      <c r="E650" s="73" t="s">
        <v>928</v>
      </c>
      <c r="F650" s="72" t="s">
        <v>929</v>
      </c>
      <c r="G650" s="74" t="n">
        <v>259250</v>
      </c>
      <c r="H650" s="75" t="s">
        <v>936</v>
      </c>
      <c r="I650" s="72" t="s">
        <v>166</v>
      </c>
    </row>
    <row r="651" customFormat="false" ht="15" hidden="false" customHeight="false" outlineLevel="0" collapsed="false">
      <c r="A651" s="72" t="n">
        <v>647</v>
      </c>
      <c r="B651" s="72" t="s">
        <v>1883</v>
      </c>
      <c r="C651" s="72" t="s">
        <v>207</v>
      </c>
      <c r="D651" s="72" t="s">
        <v>1878</v>
      </c>
      <c r="E651" s="73" t="s">
        <v>928</v>
      </c>
      <c r="F651" s="72" t="s">
        <v>929</v>
      </c>
      <c r="G651" s="74" t="n">
        <v>307965</v>
      </c>
      <c r="H651" s="75" t="s">
        <v>938</v>
      </c>
      <c r="I651" s="72" t="s">
        <v>166</v>
      </c>
    </row>
    <row r="652" customFormat="false" ht="15" hidden="false" customHeight="false" outlineLevel="0" collapsed="false">
      <c r="A652" s="72" t="n">
        <v>648</v>
      </c>
      <c r="B652" s="72" t="s">
        <v>1884</v>
      </c>
      <c r="C652" s="72" t="s">
        <v>207</v>
      </c>
      <c r="D652" s="72" t="s">
        <v>1878</v>
      </c>
      <c r="E652" s="73" t="s">
        <v>928</v>
      </c>
      <c r="F652" s="72" t="s">
        <v>929</v>
      </c>
      <c r="G652" s="74" t="n">
        <v>349343</v>
      </c>
      <c r="H652" s="75" t="s">
        <v>940</v>
      </c>
      <c r="I652" s="72" t="s">
        <v>166</v>
      </c>
    </row>
    <row r="653" customFormat="false" ht="15" hidden="false" customHeight="false" outlineLevel="0" collapsed="false">
      <c r="A653" s="72" t="n">
        <v>649</v>
      </c>
      <c r="B653" s="72" t="s">
        <v>1885</v>
      </c>
      <c r="C653" s="72" t="s">
        <v>207</v>
      </c>
      <c r="D653" s="72" t="s">
        <v>1878</v>
      </c>
      <c r="E653" s="73" t="s">
        <v>928</v>
      </c>
      <c r="F653" s="72" t="s">
        <v>929</v>
      </c>
      <c r="G653" s="74" t="n">
        <v>211442</v>
      </c>
      <c r="H653" s="75" t="s">
        <v>942</v>
      </c>
      <c r="I653" s="72" t="s">
        <v>166</v>
      </c>
    </row>
    <row r="654" customFormat="false" ht="15" hidden="false" customHeight="false" outlineLevel="0" collapsed="false">
      <c r="A654" s="72" t="n">
        <v>650</v>
      </c>
      <c r="B654" s="72" t="s">
        <v>1886</v>
      </c>
      <c r="C654" s="72" t="s">
        <v>207</v>
      </c>
      <c r="D654" s="72" t="s">
        <v>1878</v>
      </c>
      <c r="E654" s="73" t="s">
        <v>928</v>
      </c>
      <c r="F654" s="72" t="s">
        <v>929</v>
      </c>
      <c r="G654" s="74" t="n">
        <v>203057</v>
      </c>
      <c r="H654" s="75" t="s">
        <v>944</v>
      </c>
      <c r="I654" s="72" t="s">
        <v>166</v>
      </c>
    </row>
    <row r="655" customFormat="false" ht="15" hidden="false" customHeight="false" outlineLevel="0" collapsed="false">
      <c r="A655" s="72" t="n">
        <v>651</v>
      </c>
      <c r="B655" s="72" t="s">
        <v>1887</v>
      </c>
      <c r="C655" s="72" t="s">
        <v>207</v>
      </c>
      <c r="D655" s="72" t="s">
        <v>1878</v>
      </c>
      <c r="E655" s="73" t="s">
        <v>928</v>
      </c>
      <c r="F655" s="72" t="s">
        <v>929</v>
      </c>
      <c r="G655" s="74" t="n">
        <v>295844</v>
      </c>
      <c r="H655" s="75" t="s">
        <v>946</v>
      </c>
      <c r="I655" s="72" t="s">
        <v>166</v>
      </c>
    </row>
    <row r="656" customFormat="false" ht="15" hidden="false" customHeight="false" outlineLevel="0" collapsed="false">
      <c r="A656" s="72" t="n">
        <v>652</v>
      </c>
      <c r="B656" s="72" t="s">
        <v>1888</v>
      </c>
      <c r="C656" s="72" t="s">
        <v>207</v>
      </c>
      <c r="D656" s="72" t="s">
        <v>1878</v>
      </c>
      <c r="E656" s="73" t="s">
        <v>928</v>
      </c>
      <c r="F656" s="72" t="s">
        <v>929</v>
      </c>
      <c r="G656" s="74" t="n">
        <v>186674</v>
      </c>
      <c r="H656" s="75" t="s">
        <v>948</v>
      </c>
      <c r="I656" s="72" t="s">
        <v>166</v>
      </c>
    </row>
    <row r="657" customFormat="false" ht="15" hidden="false" customHeight="false" outlineLevel="0" collapsed="false">
      <c r="A657" s="72" t="n">
        <v>653</v>
      </c>
      <c r="B657" s="72" t="s">
        <v>1889</v>
      </c>
      <c r="C657" s="72" t="s">
        <v>207</v>
      </c>
      <c r="D657" s="72" t="s">
        <v>1878</v>
      </c>
      <c r="E657" s="73" t="s">
        <v>928</v>
      </c>
      <c r="F657" s="72" t="s">
        <v>929</v>
      </c>
      <c r="G657" s="74" t="n">
        <v>171843</v>
      </c>
      <c r="H657" s="75" t="s">
        <v>950</v>
      </c>
      <c r="I657" s="72" t="s">
        <v>166</v>
      </c>
    </row>
    <row r="658" customFormat="false" ht="15" hidden="false" customHeight="false" outlineLevel="0" collapsed="false">
      <c r="A658" s="72" t="n">
        <v>654</v>
      </c>
      <c r="B658" s="72" t="s">
        <v>1890</v>
      </c>
      <c r="C658" s="72" t="s">
        <v>207</v>
      </c>
      <c r="D658" s="72" t="s">
        <v>1878</v>
      </c>
      <c r="E658" s="73" t="s">
        <v>928</v>
      </c>
      <c r="F658" s="72" t="s">
        <v>929</v>
      </c>
      <c r="G658" s="74" t="n">
        <v>179366</v>
      </c>
      <c r="H658" s="75" t="s">
        <v>952</v>
      </c>
      <c r="I658" s="72" t="s">
        <v>166</v>
      </c>
    </row>
    <row r="659" customFormat="false" ht="15" hidden="false" customHeight="false" outlineLevel="0" collapsed="false">
      <c r="A659" s="72" t="n">
        <v>655</v>
      </c>
      <c r="B659" s="72" t="s">
        <v>1891</v>
      </c>
      <c r="C659" s="72" t="s">
        <v>207</v>
      </c>
      <c r="D659" s="72" t="s">
        <v>1878</v>
      </c>
      <c r="E659" s="73" t="s">
        <v>928</v>
      </c>
      <c r="F659" s="72" t="s">
        <v>929</v>
      </c>
      <c r="G659" s="74" t="n">
        <v>225266</v>
      </c>
      <c r="H659" s="75" t="s">
        <v>954</v>
      </c>
      <c r="I659" s="72" t="s">
        <v>166</v>
      </c>
    </row>
    <row r="660" customFormat="false" ht="15" hidden="false" customHeight="false" outlineLevel="0" collapsed="false">
      <c r="A660" s="72" t="n">
        <v>656</v>
      </c>
      <c r="B660" s="72" t="s">
        <v>1892</v>
      </c>
      <c r="C660" s="72" t="s">
        <v>207</v>
      </c>
      <c r="D660" s="72" t="s">
        <v>1878</v>
      </c>
      <c r="E660" s="73" t="s">
        <v>928</v>
      </c>
      <c r="F660" s="72" t="s">
        <v>929</v>
      </c>
      <c r="G660" s="74" t="n">
        <v>231061</v>
      </c>
      <c r="H660" s="75" t="s">
        <v>956</v>
      </c>
      <c r="I660" s="72" t="s">
        <v>166</v>
      </c>
    </row>
    <row r="661" customFormat="false" ht="15" hidden="false" customHeight="false" outlineLevel="0" collapsed="false">
      <c r="A661" s="72" t="n">
        <v>657</v>
      </c>
      <c r="B661" s="72" t="s">
        <v>1893</v>
      </c>
      <c r="C661" s="72" t="s">
        <v>207</v>
      </c>
      <c r="D661" s="72" t="s">
        <v>1878</v>
      </c>
      <c r="E661" s="73" t="s">
        <v>928</v>
      </c>
      <c r="F661" s="72" t="s">
        <v>929</v>
      </c>
      <c r="G661" s="74" t="n">
        <v>259482</v>
      </c>
      <c r="H661" s="75" t="s">
        <v>958</v>
      </c>
      <c r="I661" s="72" t="s">
        <v>166</v>
      </c>
    </row>
    <row r="662" customFormat="false" ht="15" hidden="false" customHeight="false" outlineLevel="0" collapsed="false">
      <c r="A662" s="72" t="n">
        <v>658</v>
      </c>
      <c r="B662" s="72" t="s">
        <v>1894</v>
      </c>
      <c r="C662" s="72" t="s">
        <v>207</v>
      </c>
      <c r="D662" s="72" t="s">
        <v>1878</v>
      </c>
      <c r="E662" s="73" t="s">
        <v>928</v>
      </c>
      <c r="F662" s="72" t="s">
        <v>929</v>
      </c>
      <c r="G662" s="74" t="n">
        <v>169394</v>
      </c>
      <c r="H662" s="75" t="s">
        <v>960</v>
      </c>
      <c r="I662" s="72" t="s">
        <v>166</v>
      </c>
    </row>
    <row r="663" customFormat="false" ht="15" hidden="false" customHeight="false" outlineLevel="0" collapsed="false">
      <c r="A663" s="72" t="n">
        <v>659</v>
      </c>
      <c r="B663" s="72" t="s">
        <v>1895</v>
      </c>
      <c r="C663" s="72" t="s">
        <v>207</v>
      </c>
      <c r="D663" s="72" t="s">
        <v>1878</v>
      </c>
      <c r="E663" s="73" t="s">
        <v>928</v>
      </c>
      <c r="F663" s="72" t="s">
        <v>929</v>
      </c>
      <c r="G663" s="74" t="n">
        <v>137153</v>
      </c>
      <c r="H663" s="75" t="s">
        <v>962</v>
      </c>
      <c r="I663" s="72" t="s">
        <v>166</v>
      </c>
    </row>
    <row r="664" customFormat="false" ht="15" hidden="false" customHeight="false" outlineLevel="0" collapsed="false">
      <c r="A664" s="72" t="n">
        <v>660</v>
      </c>
      <c r="B664" s="72" t="s">
        <v>1896</v>
      </c>
      <c r="C664" s="72" t="s">
        <v>207</v>
      </c>
      <c r="D664" s="72" t="s">
        <v>1878</v>
      </c>
      <c r="E664" s="73" t="s">
        <v>928</v>
      </c>
      <c r="F664" s="72" t="s">
        <v>929</v>
      </c>
      <c r="G664" s="74" t="n">
        <v>158886</v>
      </c>
      <c r="H664" s="75" t="s">
        <v>964</v>
      </c>
      <c r="I664" s="72" t="s">
        <v>166</v>
      </c>
    </row>
    <row r="665" customFormat="false" ht="15" hidden="false" customHeight="false" outlineLevel="0" collapsed="false">
      <c r="A665" s="72" t="n">
        <v>661</v>
      </c>
      <c r="B665" s="72" t="s">
        <v>1897</v>
      </c>
      <c r="C665" s="72" t="s">
        <v>207</v>
      </c>
      <c r="D665" s="72" t="s">
        <v>1878</v>
      </c>
      <c r="E665" s="73" t="s">
        <v>928</v>
      </c>
      <c r="F665" s="72" t="s">
        <v>929</v>
      </c>
      <c r="G665" s="74" t="n">
        <v>183794</v>
      </c>
      <c r="H665" s="75" t="s">
        <v>966</v>
      </c>
      <c r="I665" s="72" t="s">
        <v>166</v>
      </c>
    </row>
    <row r="666" customFormat="false" ht="15" hidden="false" customHeight="false" outlineLevel="0" collapsed="false">
      <c r="A666" s="72" t="n">
        <v>662</v>
      </c>
      <c r="B666" s="72" t="s">
        <v>1898</v>
      </c>
      <c r="C666" s="72" t="s">
        <v>207</v>
      </c>
      <c r="D666" s="72" t="s">
        <v>1878</v>
      </c>
      <c r="E666" s="73" t="s">
        <v>928</v>
      </c>
      <c r="F666" s="72" t="s">
        <v>929</v>
      </c>
      <c r="G666" s="74" t="n">
        <v>170589</v>
      </c>
      <c r="H666" s="75" t="s">
        <v>968</v>
      </c>
      <c r="I666" s="72" t="s">
        <v>166</v>
      </c>
    </row>
    <row r="667" customFormat="false" ht="15" hidden="false" customHeight="false" outlineLevel="0" collapsed="false">
      <c r="A667" s="72" t="n">
        <v>663</v>
      </c>
      <c r="B667" s="72" t="s">
        <v>1899</v>
      </c>
      <c r="C667" s="72" t="s">
        <v>207</v>
      </c>
      <c r="D667" s="72" t="s">
        <v>1878</v>
      </c>
      <c r="E667" s="73" t="s">
        <v>928</v>
      </c>
      <c r="F667" s="72" t="s">
        <v>929</v>
      </c>
      <c r="G667" s="74" t="n">
        <v>171820</v>
      </c>
      <c r="H667" s="75" t="s">
        <v>970</v>
      </c>
      <c r="I667" s="72" t="s">
        <v>166</v>
      </c>
    </row>
    <row r="668" customFormat="false" ht="15" hidden="false" customHeight="false" outlineLevel="0" collapsed="false">
      <c r="A668" s="72" t="n">
        <v>664</v>
      </c>
      <c r="B668" s="72" t="s">
        <v>1900</v>
      </c>
      <c r="C668" s="72" t="s">
        <v>207</v>
      </c>
      <c r="D668" s="72" t="s">
        <v>1878</v>
      </c>
      <c r="E668" s="73" t="s">
        <v>928</v>
      </c>
      <c r="F668" s="72" t="s">
        <v>929</v>
      </c>
      <c r="G668" s="74" t="n">
        <v>145202</v>
      </c>
      <c r="H668" s="75" t="s">
        <v>972</v>
      </c>
      <c r="I668" s="72" t="s">
        <v>166</v>
      </c>
    </row>
    <row r="669" customFormat="false" ht="15" hidden="false" customHeight="false" outlineLevel="0" collapsed="false">
      <c r="A669" s="72" t="n">
        <v>665</v>
      </c>
      <c r="B669" s="72" t="s">
        <v>1901</v>
      </c>
      <c r="C669" s="72" t="s">
        <v>207</v>
      </c>
      <c r="D669" s="72" t="s">
        <v>1878</v>
      </c>
      <c r="E669" s="73" t="s">
        <v>928</v>
      </c>
      <c r="F669" s="72" t="s">
        <v>929</v>
      </c>
      <c r="G669" s="74" t="n">
        <v>122106</v>
      </c>
      <c r="H669" s="75" t="s">
        <v>974</v>
      </c>
      <c r="I669" s="72" t="s">
        <v>166</v>
      </c>
    </row>
    <row r="670" customFormat="false" ht="15" hidden="false" customHeight="false" outlineLevel="0" collapsed="false">
      <c r="A670" s="72" t="n">
        <v>666</v>
      </c>
      <c r="B670" s="72" t="s">
        <v>1902</v>
      </c>
      <c r="C670" s="72" t="s">
        <v>207</v>
      </c>
      <c r="D670" s="72" t="s">
        <v>1878</v>
      </c>
      <c r="E670" s="73" t="s">
        <v>928</v>
      </c>
      <c r="F670" s="72" t="s">
        <v>929</v>
      </c>
      <c r="G670" s="74" t="n">
        <v>158886</v>
      </c>
      <c r="H670" s="75" t="s">
        <v>976</v>
      </c>
      <c r="I670" s="72" t="s">
        <v>166</v>
      </c>
    </row>
    <row r="671" customFormat="false" ht="15" hidden="false" customHeight="false" outlineLevel="0" collapsed="false">
      <c r="A671" s="72" t="n">
        <v>667</v>
      </c>
      <c r="B671" s="72" t="s">
        <v>1903</v>
      </c>
      <c r="C671" s="72" t="s">
        <v>207</v>
      </c>
      <c r="D671" s="72" t="s">
        <v>1878</v>
      </c>
      <c r="E671" s="73" t="s">
        <v>928</v>
      </c>
      <c r="F671" s="72" t="s">
        <v>929</v>
      </c>
      <c r="G671" s="74" t="n">
        <v>137138</v>
      </c>
      <c r="H671" s="75" t="s">
        <v>978</v>
      </c>
      <c r="I671" s="72" t="s">
        <v>166</v>
      </c>
    </row>
    <row r="672" customFormat="false" ht="15" hidden="false" customHeight="false" outlineLevel="0" collapsed="false">
      <c r="A672" s="72" t="n">
        <v>668</v>
      </c>
      <c r="B672" s="72" t="s">
        <v>1904</v>
      </c>
      <c r="C672" s="72" t="s">
        <v>207</v>
      </c>
      <c r="D672" s="72" t="s">
        <v>1878</v>
      </c>
      <c r="E672" s="73" t="s">
        <v>928</v>
      </c>
      <c r="F672" s="72" t="s">
        <v>929</v>
      </c>
      <c r="G672" s="74" t="n">
        <v>151363</v>
      </c>
      <c r="H672" s="75" t="s">
        <v>980</v>
      </c>
      <c r="I672" s="72" t="s">
        <v>166</v>
      </c>
    </row>
    <row r="673" customFormat="false" ht="15" hidden="false" customHeight="false" outlineLevel="0" collapsed="false">
      <c r="A673" s="72" t="n">
        <v>669</v>
      </c>
      <c r="B673" s="72" t="s">
        <v>1905</v>
      </c>
      <c r="C673" s="72" t="s">
        <v>207</v>
      </c>
      <c r="D673" s="72" t="s">
        <v>1878</v>
      </c>
      <c r="E673" s="73" t="s">
        <v>928</v>
      </c>
      <c r="F673" s="72" t="s">
        <v>929</v>
      </c>
      <c r="G673" s="74" t="n">
        <v>157633</v>
      </c>
      <c r="H673" s="75" t="s">
        <v>982</v>
      </c>
      <c r="I673" s="72" t="s">
        <v>166</v>
      </c>
    </row>
    <row r="674" customFormat="false" ht="15" hidden="false" customHeight="false" outlineLevel="0" collapsed="false">
      <c r="A674" s="72" t="n">
        <v>670</v>
      </c>
      <c r="B674" s="72" t="s">
        <v>1906</v>
      </c>
      <c r="C674" s="72" t="s">
        <v>207</v>
      </c>
      <c r="D674" s="72" t="s">
        <v>1878</v>
      </c>
      <c r="E674" s="73" t="s">
        <v>928</v>
      </c>
      <c r="F674" s="72" t="s">
        <v>929</v>
      </c>
      <c r="G674" s="74" t="n">
        <v>148082</v>
      </c>
      <c r="H674" s="75" t="s">
        <v>984</v>
      </c>
      <c r="I674" s="72" t="s">
        <v>166</v>
      </c>
    </row>
    <row r="675" customFormat="false" ht="15" hidden="false" customHeight="false" outlineLevel="0" collapsed="false">
      <c r="A675" s="72" t="n">
        <v>671</v>
      </c>
      <c r="B675" s="72" t="s">
        <v>1907</v>
      </c>
      <c r="C675" s="72" t="s">
        <v>207</v>
      </c>
      <c r="D675" s="72" t="s">
        <v>1878</v>
      </c>
      <c r="E675" s="73" t="s">
        <v>928</v>
      </c>
      <c r="F675" s="72" t="s">
        <v>929</v>
      </c>
      <c r="G675" s="74" t="n">
        <v>115419</v>
      </c>
      <c r="H675" s="75" t="s">
        <v>986</v>
      </c>
      <c r="I675" s="72" t="s">
        <v>166</v>
      </c>
    </row>
    <row r="676" customFormat="false" ht="15" hidden="false" customHeight="false" outlineLevel="0" collapsed="false">
      <c r="A676" s="72" t="n">
        <v>672</v>
      </c>
      <c r="B676" s="72" t="s">
        <v>1908</v>
      </c>
      <c r="C676" s="72" t="s">
        <v>207</v>
      </c>
      <c r="D676" s="72" t="s">
        <v>1878</v>
      </c>
      <c r="E676" s="73" t="s">
        <v>928</v>
      </c>
      <c r="F676" s="72" t="s">
        <v>929</v>
      </c>
      <c r="G676" s="74" t="n">
        <v>161812</v>
      </c>
      <c r="H676" s="75" t="s">
        <v>988</v>
      </c>
      <c r="I676" s="72" t="s">
        <v>166</v>
      </c>
    </row>
    <row r="677" customFormat="false" ht="15" hidden="false" customHeight="false" outlineLevel="0" collapsed="false">
      <c r="A677" s="72" t="n">
        <v>673</v>
      </c>
      <c r="B677" s="72" t="s">
        <v>1909</v>
      </c>
      <c r="C677" s="72" t="s">
        <v>207</v>
      </c>
      <c r="D677" s="72" t="s">
        <v>1878</v>
      </c>
      <c r="E677" s="73" t="s">
        <v>928</v>
      </c>
      <c r="F677" s="72" t="s">
        <v>929</v>
      </c>
      <c r="G677" s="74" t="n">
        <v>298994</v>
      </c>
      <c r="H677" s="75" t="s">
        <v>990</v>
      </c>
      <c r="I677" s="72" t="s">
        <v>166</v>
      </c>
    </row>
    <row r="678" customFormat="false" ht="15" hidden="false" customHeight="false" outlineLevel="0" collapsed="false">
      <c r="A678" s="72" t="n">
        <v>674</v>
      </c>
      <c r="B678" s="72" t="s">
        <v>1910</v>
      </c>
      <c r="C678" s="72" t="s">
        <v>207</v>
      </c>
      <c r="D678" s="72" t="s">
        <v>1878</v>
      </c>
      <c r="E678" s="73" t="s">
        <v>928</v>
      </c>
      <c r="F678" s="72" t="s">
        <v>929</v>
      </c>
      <c r="G678" s="74" t="n">
        <v>220326</v>
      </c>
      <c r="H678" s="75" t="s">
        <v>992</v>
      </c>
      <c r="I678" s="72" t="s">
        <v>166</v>
      </c>
    </row>
    <row r="679" customFormat="false" ht="15" hidden="false" customHeight="false" outlineLevel="0" collapsed="false">
      <c r="A679" s="72" t="n">
        <v>675</v>
      </c>
      <c r="B679" s="72" t="s">
        <v>1911</v>
      </c>
      <c r="C679" s="72" t="s">
        <v>207</v>
      </c>
      <c r="D679" s="72" t="s">
        <v>1878</v>
      </c>
      <c r="E679" s="73" t="s">
        <v>928</v>
      </c>
      <c r="F679" s="72" t="s">
        <v>929</v>
      </c>
      <c r="G679" s="74" t="n">
        <v>207788</v>
      </c>
      <c r="H679" s="75" t="s">
        <v>994</v>
      </c>
      <c r="I679" s="72" t="s">
        <v>166</v>
      </c>
    </row>
    <row r="680" customFormat="false" ht="15" hidden="false" customHeight="false" outlineLevel="0" collapsed="false">
      <c r="A680" s="72" t="n">
        <v>676</v>
      </c>
      <c r="B680" s="72" t="s">
        <v>1912</v>
      </c>
      <c r="C680" s="72" t="s">
        <v>207</v>
      </c>
      <c r="D680" s="72" t="s">
        <v>1878</v>
      </c>
      <c r="E680" s="73" t="s">
        <v>928</v>
      </c>
      <c r="F680" s="72" t="s">
        <v>929</v>
      </c>
      <c r="G680" s="74" t="n">
        <v>112370</v>
      </c>
      <c r="H680" s="75" t="s">
        <v>996</v>
      </c>
      <c r="I680" s="72" t="s">
        <v>166</v>
      </c>
    </row>
    <row r="681" customFormat="false" ht="15" hidden="false" customHeight="false" outlineLevel="0" collapsed="false">
      <c r="A681" s="72" t="n">
        <v>677</v>
      </c>
      <c r="B681" s="72" t="s">
        <v>1913</v>
      </c>
      <c r="C681" s="72" t="s">
        <v>207</v>
      </c>
      <c r="D681" s="72" t="s">
        <v>1878</v>
      </c>
      <c r="E681" s="73" t="s">
        <v>928</v>
      </c>
      <c r="F681" s="72" t="s">
        <v>929</v>
      </c>
      <c r="G681" s="74" t="n">
        <v>117926</v>
      </c>
      <c r="H681" s="75" t="s">
        <v>998</v>
      </c>
      <c r="I681" s="72" t="s">
        <v>166</v>
      </c>
    </row>
    <row r="682" customFormat="false" ht="15" hidden="false" customHeight="false" outlineLevel="0" collapsed="false">
      <c r="A682" s="72" t="n">
        <v>678</v>
      </c>
      <c r="B682" s="72" t="s">
        <v>1914</v>
      </c>
      <c r="C682" s="72" t="s">
        <v>207</v>
      </c>
      <c r="D682" s="72" t="s">
        <v>1878</v>
      </c>
      <c r="E682" s="73" t="s">
        <v>928</v>
      </c>
      <c r="F682" s="72" t="s">
        <v>929</v>
      </c>
      <c r="G682" s="74" t="n">
        <v>140078</v>
      </c>
      <c r="H682" s="75" t="s">
        <v>1000</v>
      </c>
      <c r="I682" s="72" t="s">
        <v>166</v>
      </c>
    </row>
    <row r="683" customFormat="false" ht="15" hidden="false" customHeight="false" outlineLevel="0" collapsed="false">
      <c r="A683" s="72" t="n">
        <v>679</v>
      </c>
      <c r="B683" s="72" t="s">
        <v>1915</v>
      </c>
      <c r="C683" s="72" t="s">
        <v>207</v>
      </c>
      <c r="D683" s="72" t="s">
        <v>1878</v>
      </c>
      <c r="E683" s="73" t="s">
        <v>928</v>
      </c>
      <c r="F683" s="72" t="s">
        <v>929</v>
      </c>
      <c r="G683" s="74" t="n">
        <v>115826</v>
      </c>
      <c r="H683" s="75" t="s">
        <v>1002</v>
      </c>
      <c r="I683" s="72" t="s">
        <v>166</v>
      </c>
    </row>
    <row r="684" customFormat="false" ht="15" hidden="false" customHeight="false" outlineLevel="0" collapsed="false">
      <c r="A684" s="72" t="n">
        <v>680</v>
      </c>
      <c r="B684" s="72" t="s">
        <v>1916</v>
      </c>
      <c r="C684" s="72" t="s">
        <v>207</v>
      </c>
      <c r="D684" s="72" t="s">
        <v>1878</v>
      </c>
      <c r="E684" s="73" t="s">
        <v>928</v>
      </c>
      <c r="F684" s="72" t="s">
        <v>929</v>
      </c>
      <c r="G684" s="74" t="n">
        <v>106642</v>
      </c>
      <c r="H684" s="75" t="s">
        <v>1004</v>
      </c>
      <c r="I684" s="72" t="s">
        <v>166</v>
      </c>
    </row>
    <row r="685" customFormat="false" ht="15" hidden="false" customHeight="false" outlineLevel="0" collapsed="false">
      <c r="A685" s="72" t="n">
        <v>681</v>
      </c>
      <c r="B685" s="72" t="s">
        <v>1917</v>
      </c>
      <c r="C685" s="72" t="s">
        <v>207</v>
      </c>
      <c r="D685" s="72" t="s">
        <v>1878</v>
      </c>
      <c r="E685" s="73" t="s">
        <v>928</v>
      </c>
      <c r="F685" s="72" t="s">
        <v>929</v>
      </c>
      <c r="G685" s="74" t="n">
        <v>123360</v>
      </c>
      <c r="H685" s="75" t="s">
        <v>1006</v>
      </c>
      <c r="I685" s="72" t="s">
        <v>166</v>
      </c>
    </row>
    <row r="686" customFormat="false" ht="15" hidden="false" customHeight="false" outlineLevel="0" collapsed="false">
      <c r="A686" s="72" t="n">
        <v>682</v>
      </c>
      <c r="B686" s="72" t="s">
        <v>1918</v>
      </c>
      <c r="C686" s="72" t="s">
        <v>207</v>
      </c>
      <c r="D686" s="72" t="s">
        <v>1878</v>
      </c>
      <c r="E686" s="73" t="s">
        <v>928</v>
      </c>
      <c r="F686" s="72" t="s">
        <v>929</v>
      </c>
      <c r="G686" s="74" t="n">
        <v>129650</v>
      </c>
      <c r="H686" s="75" t="s">
        <v>1008</v>
      </c>
      <c r="I686" s="72" t="s">
        <v>166</v>
      </c>
    </row>
    <row r="687" customFormat="false" ht="15" hidden="false" customHeight="false" outlineLevel="0" collapsed="false">
      <c r="A687" s="72" t="n">
        <v>683</v>
      </c>
      <c r="B687" s="72" t="s">
        <v>1919</v>
      </c>
      <c r="C687" s="72" t="s">
        <v>207</v>
      </c>
      <c r="D687" s="72" t="s">
        <v>1878</v>
      </c>
      <c r="E687" s="73" t="s">
        <v>928</v>
      </c>
      <c r="F687" s="72" t="s">
        <v>929</v>
      </c>
      <c r="G687" s="74" t="n">
        <v>110403</v>
      </c>
      <c r="H687" s="75" t="s">
        <v>1010</v>
      </c>
      <c r="I687" s="72" t="s">
        <v>166</v>
      </c>
    </row>
    <row r="688" customFormat="false" ht="15" hidden="false" customHeight="false" outlineLevel="0" collapsed="false">
      <c r="A688" s="72" t="n">
        <v>684</v>
      </c>
      <c r="B688" s="72" t="s">
        <v>1920</v>
      </c>
      <c r="C688" s="72" t="s">
        <v>207</v>
      </c>
      <c r="D688" s="72" t="s">
        <v>1878</v>
      </c>
      <c r="E688" s="73" t="s">
        <v>928</v>
      </c>
      <c r="F688" s="72" t="s">
        <v>929</v>
      </c>
      <c r="G688" s="74" t="n">
        <v>146348</v>
      </c>
      <c r="H688" s="75" t="s">
        <v>1012</v>
      </c>
      <c r="I688" s="72" t="s">
        <v>166</v>
      </c>
    </row>
    <row r="689" customFormat="false" ht="15" hidden="false" customHeight="false" outlineLevel="0" collapsed="false">
      <c r="A689" s="72" t="n">
        <v>685</v>
      </c>
      <c r="B689" s="72" t="s">
        <v>1921</v>
      </c>
      <c r="C689" s="72" t="s">
        <v>207</v>
      </c>
      <c r="D689" s="72" t="s">
        <v>1878</v>
      </c>
      <c r="E689" s="73" t="s">
        <v>928</v>
      </c>
      <c r="F689" s="72" t="s">
        <v>929</v>
      </c>
      <c r="G689" s="74" t="n">
        <v>150962</v>
      </c>
      <c r="H689" s="75" t="s">
        <v>1014</v>
      </c>
      <c r="I689" s="72" t="s">
        <v>166</v>
      </c>
    </row>
    <row r="690" customFormat="false" ht="15" hidden="false" customHeight="false" outlineLevel="0" collapsed="false">
      <c r="A690" s="72" t="n">
        <v>686</v>
      </c>
      <c r="B690" s="72" t="s">
        <v>1922</v>
      </c>
      <c r="C690" s="72" t="s">
        <v>207</v>
      </c>
      <c r="D690" s="72" t="s">
        <v>1878</v>
      </c>
      <c r="E690" s="73" t="s">
        <v>928</v>
      </c>
      <c r="F690" s="72" t="s">
        <v>929</v>
      </c>
      <c r="G690" s="74" t="n">
        <v>112911</v>
      </c>
      <c r="H690" s="75" t="s">
        <v>1016</v>
      </c>
      <c r="I690" s="72" t="s">
        <v>166</v>
      </c>
    </row>
    <row r="691" customFormat="false" ht="15" hidden="false" customHeight="false" outlineLevel="0" collapsed="false">
      <c r="A691" s="72" t="n">
        <v>687</v>
      </c>
      <c r="B691" s="72" t="s">
        <v>1923</v>
      </c>
      <c r="C691" s="72" t="s">
        <v>207</v>
      </c>
      <c r="D691" s="72" t="s">
        <v>1878</v>
      </c>
      <c r="E691" s="73" t="s">
        <v>928</v>
      </c>
      <c r="F691" s="72" t="s">
        <v>929</v>
      </c>
      <c r="G691" s="74" t="n">
        <v>164320</v>
      </c>
      <c r="H691" s="75" t="s">
        <v>1018</v>
      </c>
      <c r="I691" s="72" t="s">
        <v>166</v>
      </c>
    </row>
    <row r="692" customFormat="false" ht="15" hidden="false" customHeight="false" outlineLevel="0" collapsed="false">
      <c r="A692" s="72" t="n">
        <v>688</v>
      </c>
      <c r="B692" s="72" t="s">
        <v>1924</v>
      </c>
      <c r="C692" s="72" t="s">
        <v>207</v>
      </c>
      <c r="D692" s="72" t="s">
        <v>1878</v>
      </c>
      <c r="E692" s="73" t="s">
        <v>928</v>
      </c>
      <c r="F692" s="72" t="s">
        <v>929</v>
      </c>
      <c r="G692" s="74" t="n">
        <v>107256</v>
      </c>
      <c r="H692" s="75" t="s">
        <v>1020</v>
      </c>
      <c r="I692" s="72" t="s">
        <v>166</v>
      </c>
    </row>
    <row r="693" customFormat="false" ht="15" hidden="false" customHeight="false" outlineLevel="0" collapsed="false">
      <c r="A693" s="72" t="n">
        <v>689</v>
      </c>
      <c r="B693" s="72" t="s">
        <v>1925</v>
      </c>
      <c r="C693" s="72" t="s">
        <v>207</v>
      </c>
      <c r="D693" s="72" t="s">
        <v>1878</v>
      </c>
      <c r="E693" s="73" t="s">
        <v>928</v>
      </c>
      <c r="F693" s="72" t="s">
        <v>929</v>
      </c>
      <c r="G693" s="74" t="n">
        <v>54467</v>
      </c>
      <c r="H693" s="75" t="s">
        <v>1022</v>
      </c>
      <c r="I693" s="72" t="s">
        <v>166</v>
      </c>
    </row>
    <row r="694" customFormat="false" ht="15" hidden="false" customHeight="false" outlineLevel="0" collapsed="false">
      <c r="A694" s="72" t="n">
        <v>690</v>
      </c>
      <c r="B694" s="72" t="s">
        <v>1926</v>
      </c>
      <c r="C694" s="72" t="s">
        <v>207</v>
      </c>
      <c r="D694" s="72" t="s">
        <v>1878</v>
      </c>
      <c r="E694" s="73" t="s">
        <v>928</v>
      </c>
      <c r="F694" s="72" t="s">
        <v>929</v>
      </c>
      <c r="G694" s="74" t="n">
        <v>49508</v>
      </c>
      <c r="H694" s="75" t="s">
        <v>1024</v>
      </c>
      <c r="I694" s="72" t="s">
        <v>166</v>
      </c>
    </row>
    <row r="695" customFormat="false" ht="15" hidden="false" customHeight="false" outlineLevel="0" collapsed="false">
      <c r="A695" s="72" t="n">
        <v>691</v>
      </c>
      <c r="B695" s="72" t="s">
        <v>1927</v>
      </c>
      <c r="C695" s="72" t="s">
        <v>207</v>
      </c>
      <c r="D695" s="72" t="s">
        <v>1878</v>
      </c>
      <c r="E695" s="73" t="s">
        <v>928</v>
      </c>
      <c r="F695" s="72" t="s">
        <v>929</v>
      </c>
      <c r="G695" s="74" t="n">
        <v>136095</v>
      </c>
      <c r="H695" s="75" t="s">
        <v>1026</v>
      </c>
      <c r="I695" s="72" t="s">
        <v>166</v>
      </c>
    </row>
    <row r="696" customFormat="false" ht="15" hidden="false" customHeight="false" outlineLevel="0" collapsed="false">
      <c r="A696" s="72" t="n">
        <v>692</v>
      </c>
      <c r="B696" s="72" t="s">
        <v>1928</v>
      </c>
      <c r="C696" s="72" t="s">
        <v>207</v>
      </c>
      <c r="D696" s="72" t="s">
        <v>1878</v>
      </c>
      <c r="E696" s="73" t="s">
        <v>928</v>
      </c>
      <c r="F696" s="72" t="s">
        <v>929</v>
      </c>
      <c r="G696" s="74" t="n">
        <v>69536</v>
      </c>
      <c r="H696" s="75" t="s">
        <v>1028</v>
      </c>
      <c r="I696" s="72" t="s">
        <v>166</v>
      </c>
    </row>
    <row r="697" customFormat="false" ht="15" hidden="false" customHeight="false" outlineLevel="0" collapsed="false">
      <c r="A697" s="72" t="n">
        <v>693</v>
      </c>
      <c r="B697" s="72" t="s">
        <v>1929</v>
      </c>
      <c r="C697" s="72" t="s">
        <v>207</v>
      </c>
      <c r="D697" s="72" t="s">
        <v>1878</v>
      </c>
      <c r="E697" s="73" t="s">
        <v>928</v>
      </c>
      <c r="F697" s="72" t="s">
        <v>929</v>
      </c>
      <c r="G697" s="74" t="n">
        <v>80091</v>
      </c>
      <c r="H697" s="75" t="s">
        <v>1030</v>
      </c>
      <c r="I697" s="72" t="s">
        <v>166</v>
      </c>
    </row>
    <row r="698" customFormat="false" ht="15" hidden="false" customHeight="false" outlineLevel="0" collapsed="false">
      <c r="A698" s="72" t="n">
        <v>694</v>
      </c>
      <c r="B698" s="72" t="s">
        <v>1930</v>
      </c>
      <c r="C698" s="72" t="s">
        <v>207</v>
      </c>
      <c r="D698" s="72" t="s">
        <v>1878</v>
      </c>
      <c r="E698" s="73" t="s">
        <v>928</v>
      </c>
      <c r="F698" s="72" t="s">
        <v>929</v>
      </c>
      <c r="G698" s="74" t="n">
        <v>129199</v>
      </c>
      <c r="H698" s="75" t="s">
        <v>1032</v>
      </c>
      <c r="I698" s="72" t="s">
        <v>166</v>
      </c>
    </row>
    <row r="699" customFormat="false" ht="15" hidden="false" customHeight="false" outlineLevel="0" collapsed="false">
      <c r="A699" s="72" t="n">
        <v>695</v>
      </c>
      <c r="B699" s="72" t="s">
        <v>1931</v>
      </c>
      <c r="C699" s="72" t="s">
        <v>207</v>
      </c>
      <c r="D699" s="72" t="s">
        <v>1878</v>
      </c>
      <c r="E699" s="73" t="s">
        <v>928</v>
      </c>
      <c r="F699" s="72" t="s">
        <v>929</v>
      </c>
      <c r="G699" s="74" t="n">
        <v>61629</v>
      </c>
      <c r="H699" s="75" t="s">
        <v>1034</v>
      </c>
      <c r="I699" s="72" t="s">
        <v>166</v>
      </c>
    </row>
    <row r="700" customFormat="false" ht="15" hidden="false" customHeight="false" outlineLevel="0" collapsed="false">
      <c r="A700" s="72" t="n">
        <v>696</v>
      </c>
      <c r="B700" s="72" t="s">
        <v>1932</v>
      </c>
      <c r="C700" s="72" t="s">
        <v>207</v>
      </c>
      <c r="D700" s="72" t="s">
        <v>1878</v>
      </c>
      <c r="E700" s="73" t="s">
        <v>928</v>
      </c>
      <c r="F700" s="72" t="s">
        <v>929</v>
      </c>
      <c r="G700" s="74" t="n">
        <v>81435</v>
      </c>
      <c r="H700" s="75" t="s">
        <v>1036</v>
      </c>
      <c r="I700" s="72" t="s">
        <v>166</v>
      </c>
    </row>
    <row r="701" customFormat="false" ht="15" hidden="false" customHeight="false" outlineLevel="0" collapsed="false">
      <c r="A701" s="72" t="n">
        <v>697</v>
      </c>
      <c r="B701" s="72" t="s">
        <v>1933</v>
      </c>
      <c r="C701" s="72" t="s">
        <v>207</v>
      </c>
      <c r="D701" s="72" t="s">
        <v>1878</v>
      </c>
      <c r="E701" s="73" t="s">
        <v>928</v>
      </c>
      <c r="F701" s="72" t="s">
        <v>929</v>
      </c>
      <c r="G701" s="74" t="n">
        <v>149261</v>
      </c>
      <c r="H701" s="75" t="s">
        <v>1038</v>
      </c>
      <c r="I701" s="72" t="s">
        <v>166</v>
      </c>
    </row>
    <row r="702" customFormat="false" ht="15" hidden="false" customHeight="false" outlineLevel="0" collapsed="false">
      <c r="A702" s="72" t="n">
        <v>698</v>
      </c>
      <c r="B702" s="72" t="s">
        <v>1934</v>
      </c>
      <c r="C702" s="72" t="s">
        <v>207</v>
      </c>
      <c r="D702" s="72" t="s">
        <v>1878</v>
      </c>
      <c r="E702" s="73" t="s">
        <v>928</v>
      </c>
      <c r="F702" s="72" t="s">
        <v>929</v>
      </c>
      <c r="G702" s="74" t="n">
        <v>97756</v>
      </c>
      <c r="H702" s="75" t="s">
        <v>1040</v>
      </c>
      <c r="I702" s="72" t="s">
        <v>166</v>
      </c>
    </row>
    <row r="703" customFormat="false" ht="15" hidden="false" customHeight="false" outlineLevel="0" collapsed="false">
      <c r="A703" s="72" t="n">
        <v>699</v>
      </c>
      <c r="B703" s="72" t="s">
        <v>1935</v>
      </c>
      <c r="C703" s="72" t="s">
        <v>207</v>
      </c>
      <c r="D703" s="72" t="s">
        <v>1878</v>
      </c>
      <c r="E703" s="73" t="s">
        <v>928</v>
      </c>
      <c r="F703" s="72" t="s">
        <v>929</v>
      </c>
      <c r="G703" s="74" t="n">
        <v>94267</v>
      </c>
      <c r="H703" s="75" t="s">
        <v>1042</v>
      </c>
      <c r="I703" s="72" t="s">
        <v>166</v>
      </c>
    </row>
    <row r="704" customFormat="false" ht="15" hidden="false" customHeight="false" outlineLevel="0" collapsed="false">
      <c r="A704" s="72" t="n">
        <v>700</v>
      </c>
      <c r="B704" s="72" t="s">
        <v>1936</v>
      </c>
      <c r="C704" s="72" t="s">
        <v>207</v>
      </c>
      <c r="D704" s="72" t="s">
        <v>1878</v>
      </c>
      <c r="E704" s="73" t="s">
        <v>928</v>
      </c>
      <c r="F704" s="72" t="s">
        <v>929</v>
      </c>
      <c r="G704" s="74" t="n">
        <v>158038</v>
      </c>
      <c r="H704" s="75" t="s">
        <v>1044</v>
      </c>
      <c r="I704" s="72" t="s">
        <v>166</v>
      </c>
    </row>
    <row r="705" customFormat="false" ht="15" hidden="false" customHeight="false" outlineLevel="0" collapsed="false">
      <c r="A705" s="72" t="n">
        <v>701</v>
      </c>
      <c r="B705" s="72" t="s">
        <v>1937</v>
      </c>
      <c r="C705" s="72" t="s">
        <v>207</v>
      </c>
      <c r="D705" s="72" t="s">
        <v>1878</v>
      </c>
      <c r="E705" s="73" t="s">
        <v>928</v>
      </c>
      <c r="F705" s="72" t="s">
        <v>929</v>
      </c>
      <c r="G705" s="74" t="n">
        <v>79650</v>
      </c>
      <c r="H705" s="75" t="s">
        <v>1046</v>
      </c>
      <c r="I705" s="72" t="s">
        <v>166</v>
      </c>
    </row>
    <row r="706" customFormat="false" ht="15" hidden="false" customHeight="false" outlineLevel="0" collapsed="false">
      <c r="A706" s="72" t="n">
        <v>702</v>
      </c>
      <c r="B706" s="72" t="s">
        <v>1938</v>
      </c>
      <c r="C706" s="72" t="s">
        <v>207</v>
      </c>
      <c r="D706" s="72" t="s">
        <v>1878</v>
      </c>
      <c r="E706" s="73" t="s">
        <v>928</v>
      </c>
      <c r="F706" s="72" t="s">
        <v>929</v>
      </c>
      <c r="G706" s="74" t="n">
        <v>102503</v>
      </c>
      <c r="H706" s="75" t="s">
        <v>1048</v>
      </c>
      <c r="I706" s="72" t="s">
        <v>166</v>
      </c>
    </row>
    <row r="707" customFormat="false" ht="15" hidden="false" customHeight="false" outlineLevel="0" collapsed="false">
      <c r="A707" s="72" t="n">
        <v>703</v>
      </c>
      <c r="B707" s="72" t="s">
        <v>1939</v>
      </c>
      <c r="C707" s="72" t="s">
        <v>207</v>
      </c>
      <c r="D707" s="72" t="s">
        <v>1878</v>
      </c>
      <c r="E707" s="73" t="s">
        <v>928</v>
      </c>
      <c r="F707" s="72" t="s">
        <v>929</v>
      </c>
      <c r="G707" s="74" t="n">
        <v>239540</v>
      </c>
      <c r="H707" s="75" t="s">
        <v>1050</v>
      </c>
      <c r="I707" s="72" t="s">
        <v>166</v>
      </c>
    </row>
    <row r="708" customFormat="false" ht="15" hidden="false" customHeight="false" outlineLevel="0" collapsed="false">
      <c r="A708" s="72" t="n">
        <v>704</v>
      </c>
      <c r="B708" s="72" t="s">
        <v>1940</v>
      </c>
      <c r="C708" s="72" t="s">
        <v>207</v>
      </c>
      <c r="D708" s="72" t="s">
        <v>1878</v>
      </c>
      <c r="E708" s="73" t="s">
        <v>928</v>
      </c>
      <c r="F708" s="72" t="s">
        <v>929</v>
      </c>
      <c r="G708" s="74" t="n">
        <v>140028</v>
      </c>
      <c r="H708" s="75" t="s">
        <v>1052</v>
      </c>
      <c r="I708" s="72" t="s">
        <v>166</v>
      </c>
    </row>
    <row r="709" customFormat="false" ht="15" hidden="false" customHeight="false" outlineLevel="0" collapsed="false">
      <c r="A709" s="72" t="n">
        <v>705</v>
      </c>
      <c r="B709" s="72" t="s">
        <v>1941</v>
      </c>
      <c r="C709" s="72" t="s">
        <v>207</v>
      </c>
      <c r="D709" s="72" t="s">
        <v>1878</v>
      </c>
      <c r="E709" s="73" t="s">
        <v>928</v>
      </c>
      <c r="F709" s="72" t="s">
        <v>929</v>
      </c>
      <c r="G709" s="74" t="n">
        <v>149961</v>
      </c>
      <c r="H709" s="75" t="s">
        <v>1054</v>
      </c>
      <c r="I709" s="72" t="s">
        <v>166</v>
      </c>
    </row>
    <row r="710" customFormat="false" ht="15" hidden="false" customHeight="false" outlineLevel="0" collapsed="false">
      <c r="A710" s="72" t="n">
        <v>706</v>
      </c>
      <c r="B710" s="72" t="s">
        <v>1942</v>
      </c>
      <c r="C710" s="72" t="s">
        <v>207</v>
      </c>
      <c r="D710" s="72" t="s">
        <v>1878</v>
      </c>
      <c r="E710" s="73" t="s">
        <v>722</v>
      </c>
      <c r="F710" s="72" t="s">
        <v>843</v>
      </c>
      <c r="G710" s="74" t="n">
        <v>475008</v>
      </c>
      <c r="H710" s="75" t="s">
        <v>1056</v>
      </c>
      <c r="I710" s="72" t="s">
        <v>166</v>
      </c>
    </row>
    <row r="711" customFormat="false" ht="15" hidden="false" customHeight="false" outlineLevel="0" collapsed="false">
      <c r="A711" s="72" t="n">
        <v>707</v>
      </c>
      <c r="B711" s="72" t="s">
        <v>1943</v>
      </c>
      <c r="C711" s="72" t="s">
        <v>207</v>
      </c>
      <c r="D711" s="72" t="s">
        <v>1878</v>
      </c>
      <c r="E711" s="73" t="s">
        <v>722</v>
      </c>
      <c r="F711" s="72" t="s">
        <v>843</v>
      </c>
      <c r="G711" s="74" t="n">
        <v>490778</v>
      </c>
      <c r="H711" s="75" t="s">
        <v>1058</v>
      </c>
      <c r="I711" s="72" t="s">
        <v>166</v>
      </c>
    </row>
    <row r="712" customFormat="false" ht="15" hidden="false" customHeight="false" outlineLevel="0" collapsed="false">
      <c r="A712" s="72" t="n">
        <v>708</v>
      </c>
      <c r="B712" s="72" t="s">
        <v>1944</v>
      </c>
      <c r="C712" s="72" t="s">
        <v>210</v>
      </c>
      <c r="D712" s="72" t="s">
        <v>1945</v>
      </c>
      <c r="E712" s="73" t="s">
        <v>722</v>
      </c>
      <c r="F712" s="72" t="s">
        <v>843</v>
      </c>
      <c r="G712" s="74" t="n">
        <v>136586</v>
      </c>
      <c r="H712" s="75" t="s">
        <v>1060</v>
      </c>
      <c r="I712" s="72" t="s">
        <v>166</v>
      </c>
    </row>
    <row r="713" customFormat="false" ht="15" hidden="false" customHeight="false" outlineLevel="0" collapsed="false">
      <c r="A713" s="72" t="n">
        <v>709</v>
      </c>
      <c r="B713" s="72" t="s">
        <v>1946</v>
      </c>
      <c r="C713" s="72" t="s">
        <v>210</v>
      </c>
      <c r="D713" s="72" t="s">
        <v>1945</v>
      </c>
      <c r="E713" s="73" t="s">
        <v>722</v>
      </c>
      <c r="F713" s="72" t="s">
        <v>843</v>
      </c>
      <c r="G713" s="74" t="n">
        <v>93430</v>
      </c>
      <c r="H713" s="75" t="s">
        <v>1062</v>
      </c>
      <c r="I713" s="72" t="s">
        <v>166</v>
      </c>
    </row>
    <row r="714" customFormat="false" ht="15" hidden="false" customHeight="false" outlineLevel="0" collapsed="false">
      <c r="A714" s="72" t="n">
        <v>710</v>
      </c>
      <c r="B714" s="72" t="s">
        <v>1947</v>
      </c>
      <c r="C714" s="72" t="s">
        <v>210</v>
      </c>
      <c r="D714" s="72" t="s">
        <v>1945</v>
      </c>
      <c r="E714" s="73" t="s">
        <v>722</v>
      </c>
      <c r="F714" s="72" t="s">
        <v>843</v>
      </c>
      <c r="G714" s="74" t="n">
        <v>56994</v>
      </c>
      <c r="H714" s="75" t="s">
        <v>1064</v>
      </c>
      <c r="I714" s="72" t="s">
        <v>166</v>
      </c>
    </row>
    <row r="715" customFormat="false" ht="15" hidden="false" customHeight="false" outlineLevel="0" collapsed="false">
      <c r="A715" s="72" t="n">
        <v>711</v>
      </c>
      <c r="B715" s="72" t="s">
        <v>1948</v>
      </c>
      <c r="C715" s="72" t="s">
        <v>210</v>
      </c>
      <c r="D715" s="72" t="s">
        <v>1945</v>
      </c>
      <c r="E715" s="73" t="s">
        <v>722</v>
      </c>
      <c r="F715" s="72" t="s">
        <v>843</v>
      </c>
      <c r="G715" s="74" t="n">
        <v>125380</v>
      </c>
      <c r="H715" s="75" t="s">
        <v>1066</v>
      </c>
      <c r="I715" s="72" t="s">
        <v>166</v>
      </c>
    </row>
    <row r="716" customFormat="false" ht="15" hidden="false" customHeight="false" outlineLevel="0" collapsed="false">
      <c r="A716" s="72" t="n">
        <v>712</v>
      </c>
      <c r="B716" s="72" t="s">
        <v>1949</v>
      </c>
      <c r="C716" s="72" t="s">
        <v>210</v>
      </c>
      <c r="D716" s="72" t="s">
        <v>1945</v>
      </c>
      <c r="E716" s="73" t="s">
        <v>722</v>
      </c>
      <c r="F716" s="72" t="s">
        <v>843</v>
      </c>
      <c r="G716" s="74" t="n">
        <v>799636</v>
      </c>
      <c r="H716" s="75" t="s">
        <v>1068</v>
      </c>
      <c r="I716" s="72" t="s">
        <v>166</v>
      </c>
    </row>
    <row r="717" customFormat="false" ht="15" hidden="false" customHeight="false" outlineLevel="0" collapsed="false">
      <c r="A717" s="72" t="n">
        <v>713</v>
      </c>
      <c r="B717" s="72" t="s">
        <v>1950</v>
      </c>
      <c r="C717" s="72" t="s">
        <v>210</v>
      </c>
      <c r="D717" s="72" t="s">
        <v>1945</v>
      </c>
      <c r="E717" s="73" t="s">
        <v>722</v>
      </c>
      <c r="F717" s="72" t="s">
        <v>843</v>
      </c>
      <c r="G717" s="74" t="n">
        <v>498122</v>
      </c>
      <c r="H717" s="75" t="s">
        <v>1070</v>
      </c>
      <c r="I717" s="72" t="s">
        <v>166</v>
      </c>
    </row>
    <row r="718" customFormat="false" ht="15" hidden="false" customHeight="false" outlineLevel="0" collapsed="false">
      <c r="A718" s="72" t="n">
        <v>714</v>
      </c>
      <c r="B718" s="72" t="s">
        <v>1951</v>
      </c>
      <c r="C718" s="72" t="s">
        <v>210</v>
      </c>
      <c r="D718" s="72" t="s">
        <v>1945</v>
      </c>
      <c r="E718" s="73" t="s">
        <v>722</v>
      </c>
      <c r="F718" s="72" t="s">
        <v>843</v>
      </c>
      <c r="G718" s="74" t="n">
        <v>421498</v>
      </c>
      <c r="H718" s="75" t="s">
        <v>1072</v>
      </c>
      <c r="I718" s="72" t="s">
        <v>166</v>
      </c>
    </row>
    <row r="719" customFormat="false" ht="15" hidden="false" customHeight="false" outlineLevel="0" collapsed="false">
      <c r="A719" s="72" t="n">
        <v>715</v>
      </c>
      <c r="B719" s="72" t="s">
        <v>1952</v>
      </c>
      <c r="C719" s="72" t="s">
        <v>210</v>
      </c>
      <c r="D719" s="72" t="s">
        <v>1945</v>
      </c>
      <c r="E719" s="73" t="s">
        <v>722</v>
      </c>
      <c r="F719" s="72" t="s">
        <v>843</v>
      </c>
      <c r="G719" s="74" t="n">
        <v>44380</v>
      </c>
      <c r="H719" s="75" t="s">
        <v>1074</v>
      </c>
      <c r="I719" s="72" t="s">
        <v>166</v>
      </c>
    </row>
    <row r="720" customFormat="false" ht="15" hidden="false" customHeight="false" outlineLevel="0" collapsed="false">
      <c r="A720" s="72" t="n">
        <v>716</v>
      </c>
      <c r="B720" s="72" t="s">
        <v>1953</v>
      </c>
      <c r="C720" s="72" t="s">
        <v>210</v>
      </c>
      <c r="D720" s="72" t="s">
        <v>1945</v>
      </c>
      <c r="E720" s="73" t="s">
        <v>722</v>
      </c>
      <c r="F720" s="72" t="s">
        <v>843</v>
      </c>
      <c r="G720" s="74" t="n">
        <v>63834</v>
      </c>
      <c r="H720" s="75" t="s">
        <v>1076</v>
      </c>
      <c r="I720" s="72" t="s">
        <v>166</v>
      </c>
    </row>
    <row r="721" customFormat="false" ht="15" hidden="false" customHeight="false" outlineLevel="0" collapsed="false">
      <c r="A721" s="72" t="n">
        <v>717</v>
      </c>
      <c r="B721" s="72" t="s">
        <v>1954</v>
      </c>
      <c r="C721" s="72" t="s">
        <v>210</v>
      </c>
      <c r="D721" s="72" t="s">
        <v>1945</v>
      </c>
      <c r="E721" s="73" t="s">
        <v>722</v>
      </c>
      <c r="F721" s="72" t="s">
        <v>843</v>
      </c>
      <c r="G721" s="74" t="n">
        <v>16974</v>
      </c>
      <c r="H721" s="75" t="s">
        <v>1078</v>
      </c>
      <c r="I721" s="72" t="s">
        <v>166</v>
      </c>
    </row>
    <row r="722" customFormat="false" ht="15" hidden="false" customHeight="false" outlineLevel="0" collapsed="false">
      <c r="A722" s="72" t="n">
        <v>718</v>
      </c>
      <c r="B722" s="72" t="s">
        <v>1955</v>
      </c>
      <c r="C722" s="72" t="s">
        <v>210</v>
      </c>
      <c r="D722" s="72" t="s">
        <v>1945</v>
      </c>
      <c r="E722" s="73" t="s">
        <v>722</v>
      </c>
      <c r="F722" s="72" t="s">
        <v>843</v>
      </c>
      <c r="G722" s="74" t="n">
        <v>525996</v>
      </c>
      <c r="H722" s="75" t="s">
        <v>1080</v>
      </c>
      <c r="I722" s="72" t="s">
        <v>166</v>
      </c>
    </row>
    <row r="723" customFormat="false" ht="15" hidden="false" customHeight="false" outlineLevel="0" collapsed="false">
      <c r="A723" s="72" t="n">
        <v>719</v>
      </c>
      <c r="B723" s="72" t="s">
        <v>1956</v>
      </c>
      <c r="C723" s="72" t="s">
        <v>210</v>
      </c>
      <c r="D723" s="72" t="s">
        <v>1945</v>
      </c>
      <c r="E723" s="73" t="s">
        <v>722</v>
      </c>
      <c r="F723" s="72" t="s">
        <v>843</v>
      </c>
      <c r="G723" s="74" t="n">
        <v>49210</v>
      </c>
      <c r="H723" s="75" t="s">
        <v>1082</v>
      </c>
      <c r="I723" s="72" t="s">
        <v>166</v>
      </c>
    </row>
    <row r="724" customFormat="false" ht="15" hidden="false" customHeight="false" outlineLevel="0" collapsed="false">
      <c r="A724" s="72" t="n">
        <v>720</v>
      </c>
      <c r="B724" s="72" t="s">
        <v>1957</v>
      </c>
      <c r="C724" s="72" t="s">
        <v>210</v>
      </c>
      <c r="D724" s="72" t="s">
        <v>1945</v>
      </c>
      <c r="E724" s="73" t="s">
        <v>722</v>
      </c>
      <c r="F724" s="72" t="s">
        <v>843</v>
      </c>
      <c r="G724" s="74" t="n">
        <v>441426</v>
      </c>
      <c r="H724" s="75" t="s">
        <v>1084</v>
      </c>
      <c r="I724" s="72" t="s">
        <v>166</v>
      </c>
    </row>
    <row r="725" customFormat="false" ht="15" hidden="false" customHeight="false" outlineLevel="0" collapsed="false">
      <c r="A725" s="72" t="n">
        <v>721</v>
      </c>
      <c r="B725" s="72" t="s">
        <v>1958</v>
      </c>
      <c r="C725" s="72" t="s">
        <v>210</v>
      </c>
      <c r="D725" s="72" t="s">
        <v>1945</v>
      </c>
      <c r="E725" s="73" t="s">
        <v>722</v>
      </c>
      <c r="F725" s="72" t="s">
        <v>843</v>
      </c>
      <c r="G725" s="74" t="n">
        <v>226530</v>
      </c>
      <c r="H725" s="75" t="s">
        <v>1086</v>
      </c>
      <c r="I725" s="72" t="s">
        <v>166</v>
      </c>
    </row>
    <row r="726" customFormat="false" ht="15" hidden="false" customHeight="false" outlineLevel="0" collapsed="false">
      <c r="A726" s="72" t="n">
        <v>722</v>
      </c>
      <c r="B726" s="72" t="s">
        <v>1959</v>
      </c>
      <c r="C726" s="72" t="s">
        <v>210</v>
      </c>
      <c r="D726" s="72" t="s">
        <v>1945</v>
      </c>
      <c r="E726" s="73" t="s">
        <v>722</v>
      </c>
      <c r="F726" s="72" t="s">
        <v>843</v>
      </c>
      <c r="G726" s="74" t="n">
        <v>277688</v>
      </c>
      <c r="H726" s="75" t="s">
        <v>1088</v>
      </c>
      <c r="I726" s="72" t="s">
        <v>166</v>
      </c>
    </row>
    <row r="727" customFormat="false" ht="15" hidden="false" customHeight="false" outlineLevel="0" collapsed="false">
      <c r="A727" s="72" t="n">
        <v>723</v>
      </c>
      <c r="B727" s="72" t="s">
        <v>1960</v>
      </c>
      <c r="C727" s="72" t="s">
        <v>210</v>
      </c>
      <c r="D727" s="72" t="s">
        <v>1945</v>
      </c>
      <c r="E727" s="73" t="s">
        <v>722</v>
      </c>
      <c r="F727" s="72" t="s">
        <v>843</v>
      </c>
      <c r="G727" s="74" t="n">
        <v>196852</v>
      </c>
      <c r="H727" s="75" t="s">
        <v>1090</v>
      </c>
      <c r="I727" s="72" t="s">
        <v>166</v>
      </c>
    </row>
    <row r="728" customFormat="false" ht="15" hidden="false" customHeight="false" outlineLevel="0" collapsed="false">
      <c r="A728" s="72" t="n">
        <v>724</v>
      </c>
      <c r="B728" s="72" t="s">
        <v>1961</v>
      </c>
      <c r="C728" s="72" t="s">
        <v>210</v>
      </c>
      <c r="D728" s="72" t="s">
        <v>1945</v>
      </c>
      <c r="E728" s="73" t="s">
        <v>722</v>
      </c>
      <c r="F728" s="72" t="s">
        <v>843</v>
      </c>
      <c r="G728" s="74" t="n">
        <v>387892</v>
      </c>
      <c r="H728" s="75" t="s">
        <v>1092</v>
      </c>
      <c r="I728" s="72" t="s">
        <v>166</v>
      </c>
    </row>
    <row r="729" customFormat="false" ht="15" hidden="false" customHeight="false" outlineLevel="0" collapsed="false">
      <c r="A729" s="72" t="n">
        <v>725</v>
      </c>
      <c r="B729" s="72" t="s">
        <v>1962</v>
      </c>
      <c r="C729" s="72" t="s">
        <v>210</v>
      </c>
      <c r="D729" s="72" t="s">
        <v>1945</v>
      </c>
      <c r="E729" s="73" t="s">
        <v>722</v>
      </c>
      <c r="F729" s="72" t="s">
        <v>843</v>
      </c>
      <c r="G729" s="74" t="n">
        <v>214064</v>
      </c>
      <c r="H729" s="75" t="s">
        <v>1094</v>
      </c>
      <c r="I729" s="72" t="s">
        <v>166</v>
      </c>
    </row>
    <row r="730" customFormat="false" ht="15" hidden="false" customHeight="false" outlineLevel="0" collapsed="false">
      <c r="A730" s="72" t="n">
        <v>726</v>
      </c>
      <c r="B730" s="72" t="s">
        <v>1963</v>
      </c>
      <c r="C730" s="72" t="s">
        <v>210</v>
      </c>
      <c r="D730" s="72" t="s">
        <v>1945</v>
      </c>
      <c r="E730" s="73" t="s">
        <v>722</v>
      </c>
      <c r="F730" s="72" t="s">
        <v>843</v>
      </c>
      <c r="G730" s="74" t="n">
        <v>221096</v>
      </c>
      <c r="H730" s="75" t="s">
        <v>1096</v>
      </c>
      <c r="I730" s="72" t="s">
        <v>166</v>
      </c>
    </row>
    <row r="731" customFormat="false" ht="15" hidden="false" customHeight="false" outlineLevel="0" collapsed="false">
      <c r="A731" s="72" t="n">
        <v>727</v>
      </c>
      <c r="B731" s="72" t="s">
        <v>1964</v>
      </c>
      <c r="C731" s="72" t="s">
        <v>210</v>
      </c>
      <c r="D731" s="72" t="s">
        <v>1945</v>
      </c>
      <c r="E731" s="73" t="s">
        <v>722</v>
      </c>
      <c r="F731" s="72" t="s">
        <v>843</v>
      </c>
      <c r="G731" s="74" t="n">
        <v>330160</v>
      </c>
      <c r="H731" s="75" t="s">
        <v>1098</v>
      </c>
      <c r="I731" s="72" t="s">
        <v>166</v>
      </c>
    </row>
    <row r="732" customFormat="false" ht="15" hidden="false" customHeight="false" outlineLevel="0" collapsed="false">
      <c r="A732" s="72" t="n">
        <v>728</v>
      </c>
      <c r="B732" s="72" t="s">
        <v>1965</v>
      </c>
      <c r="C732" s="72" t="s">
        <v>210</v>
      </c>
      <c r="D732" s="72" t="s">
        <v>1945</v>
      </c>
      <c r="E732" s="73" t="s">
        <v>722</v>
      </c>
      <c r="F732" s="72" t="s">
        <v>843</v>
      </c>
      <c r="G732" s="74" t="n">
        <v>238090</v>
      </c>
      <c r="H732" s="75" t="s">
        <v>1100</v>
      </c>
      <c r="I732" s="72" t="s">
        <v>166</v>
      </c>
    </row>
    <row r="733" customFormat="false" ht="15" hidden="false" customHeight="false" outlineLevel="0" collapsed="false">
      <c r="A733" s="72" t="n">
        <v>729</v>
      </c>
      <c r="B733" s="72" t="s">
        <v>1966</v>
      </c>
      <c r="C733" s="72" t="s">
        <v>210</v>
      </c>
      <c r="D733" s="72" t="s">
        <v>1945</v>
      </c>
      <c r="E733" s="73" t="s">
        <v>722</v>
      </c>
      <c r="F733" s="72" t="s">
        <v>843</v>
      </c>
      <c r="G733" s="74" t="n">
        <v>198734</v>
      </c>
      <c r="H733" s="75" t="s">
        <v>1102</v>
      </c>
      <c r="I733" s="72" t="s">
        <v>166</v>
      </c>
    </row>
    <row r="734" customFormat="false" ht="15" hidden="false" customHeight="false" outlineLevel="0" collapsed="false">
      <c r="A734" s="72" t="n">
        <v>730</v>
      </c>
      <c r="B734" s="72" t="s">
        <v>1967</v>
      </c>
      <c r="C734" s="72" t="s">
        <v>210</v>
      </c>
      <c r="D734" s="72" t="s">
        <v>1945</v>
      </c>
      <c r="E734" s="73" t="s">
        <v>722</v>
      </c>
      <c r="F734" s="72" t="s">
        <v>843</v>
      </c>
      <c r="G734" s="74" t="n">
        <v>269356</v>
      </c>
      <c r="H734" s="75" t="s">
        <v>1104</v>
      </c>
      <c r="I734" s="72" t="s">
        <v>166</v>
      </c>
    </row>
    <row r="735" customFormat="false" ht="15" hidden="false" customHeight="false" outlineLevel="0" collapsed="false">
      <c r="A735" s="72" t="n">
        <v>731</v>
      </c>
      <c r="B735" s="72" t="s">
        <v>1968</v>
      </c>
      <c r="C735" s="72" t="s">
        <v>210</v>
      </c>
      <c r="D735" s="72" t="s">
        <v>1945</v>
      </c>
      <c r="E735" s="73" t="s">
        <v>722</v>
      </c>
      <c r="F735" s="72" t="s">
        <v>843</v>
      </c>
      <c r="G735" s="74" t="n">
        <v>483902</v>
      </c>
      <c r="H735" s="75" t="s">
        <v>1106</v>
      </c>
      <c r="I735" s="72" t="s">
        <v>166</v>
      </c>
    </row>
    <row r="736" customFormat="false" ht="15" hidden="false" customHeight="false" outlineLevel="0" collapsed="false">
      <c r="A736" s="72" t="n">
        <v>732</v>
      </c>
      <c r="B736" s="72" t="s">
        <v>1969</v>
      </c>
      <c r="C736" s="72" t="s">
        <v>213</v>
      </c>
      <c r="D736" s="72" t="s">
        <v>1970</v>
      </c>
      <c r="E736" s="73" t="s">
        <v>722</v>
      </c>
      <c r="F736" s="72" t="s">
        <v>843</v>
      </c>
      <c r="G736" s="74" t="n">
        <v>320662</v>
      </c>
      <c r="H736" s="75" t="s">
        <v>1108</v>
      </c>
      <c r="I736" s="72" t="s">
        <v>166</v>
      </c>
    </row>
    <row r="737" customFormat="false" ht="15" hidden="false" customHeight="false" outlineLevel="0" collapsed="false">
      <c r="A737" s="72" t="n">
        <v>733</v>
      </c>
      <c r="B737" s="72" t="s">
        <v>1971</v>
      </c>
      <c r="C737" s="72" t="s">
        <v>213</v>
      </c>
      <c r="D737" s="72" t="s">
        <v>1970</v>
      </c>
      <c r="E737" s="73" t="s">
        <v>722</v>
      </c>
      <c r="F737" s="72" t="s">
        <v>843</v>
      </c>
      <c r="G737" s="74" t="n">
        <v>537348</v>
      </c>
      <c r="H737" s="75" t="s">
        <v>1110</v>
      </c>
      <c r="I737" s="72" t="s">
        <v>166</v>
      </c>
    </row>
    <row r="738" customFormat="false" ht="15" hidden="false" customHeight="false" outlineLevel="0" collapsed="false">
      <c r="A738" s="72" t="n">
        <v>734</v>
      </c>
      <c r="B738" s="72" t="s">
        <v>1972</v>
      </c>
      <c r="C738" s="72" t="s">
        <v>219</v>
      </c>
      <c r="D738" s="72" t="s">
        <v>1973</v>
      </c>
      <c r="E738" s="73" t="s">
        <v>1112</v>
      </c>
      <c r="F738" s="72" t="s">
        <v>1113</v>
      </c>
      <c r="G738" s="74" t="n">
        <v>919</v>
      </c>
      <c r="H738" s="75" t="s">
        <v>1114</v>
      </c>
      <c r="I738" s="72" t="s">
        <v>166</v>
      </c>
    </row>
    <row r="739" customFormat="false" ht="15" hidden="false" customHeight="false" outlineLevel="0" collapsed="false">
      <c r="A739" s="72" t="n">
        <v>735</v>
      </c>
      <c r="B739" s="72" t="s">
        <v>1974</v>
      </c>
      <c r="C739" s="72" t="s">
        <v>219</v>
      </c>
      <c r="D739" s="72" t="s">
        <v>1973</v>
      </c>
      <c r="E739" s="72" t="s">
        <v>1116</v>
      </c>
      <c r="F739" s="72" t="s">
        <v>1117</v>
      </c>
      <c r="G739" s="74" t="n">
        <v>875084</v>
      </c>
      <c r="H739" s="75" t="s">
        <v>1118</v>
      </c>
      <c r="I739" s="72" t="s">
        <v>166</v>
      </c>
    </row>
    <row r="740" customFormat="false" ht="15" hidden="false" customHeight="false" outlineLevel="0" collapsed="false">
      <c r="A740" s="72" t="n">
        <v>736</v>
      </c>
      <c r="B740" s="72" t="s">
        <v>1975</v>
      </c>
      <c r="C740" s="72" t="s">
        <v>216</v>
      </c>
      <c r="D740" s="73" t="s">
        <v>1863</v>
      </c>
      <c r="E740" s="73" t="s">
        <v>254</v>
      </c>
      <c r="F740" s="72" t="s">
        <v>583</v>
      </c>
      <c r="G740" s="74" t="n">
        <v>1584</v>
      </c>
      <c r="H740" s="75" t="s">
        <v>1120</v>
      </c>
      <c r="I740" s="72" t="s">
        <v>166</v>
      </c>
    </row>
    <row r="741" customFormat="false" ht="15" hidden="false" customHeight="false" outlineLevel="0" collapsed="false">
      <c r="A741" s="72" t="n">
        <v>737</v>
      </c>
      <c r="B741" s="72" t="s">
        <v>1976</v>
      </c>
      <c r="C741" s="72" t="s">
        <v>216</v>
      </c>
      <c r="D741" s="73" t="s">
        <v>1863</v>
      </c>
      <c r="E741" s="73" t="s">
        <v>722</v>
      </c>
      <c r="F741" s="72" t="s">
        <v>843</v>
      </c>
      <c r="G741" s="74" t="n">
        <v>81976</v>
      </c>
      <c r="H741" s="75" t="s">
        <v>1122</v>
      </c>
      <c r="I741" s="72" t="s">
        <v>166</v>
      </c>
    </row>
    <row r="742" customFormat="false" ht="15" hidden="false" customHeight="false" outlineLevel="0" collapsed="false">
      <c r="A742" s="72" t="n">
        <v>738</v>
      </c>
      <c r="B742" s="72" t="s">
        <v>1977</v>
      </c>
      <c r="C742" s="72" t="s">
        <v>216</v>
      </c>
      <c r="D742" s="73" t="s">
        <v>1863</v>
      </c>
      <c r="E742" s="73" t="s">
        <v>722</v>
      </c>
      <c r="F742" s="72" t="s">
        <v>843</v>
      </c>
      <c r="G742" s="74" t="n">
        <v>227354</v>
      </c>
      <c r="H742" s="75" t="s">
        <v>1124</v>
      </c>
      <c r="I742" s="72" t="s">
        <v>166</v>
      </c>
    </row>
    <row r="743" customFormat="false" ht="15" hidden="false" customHeight="false" outlineLevel="0" collapsed="false">
      <c r="A743" s="72" t="n">
        <v>739</v>
      </c>
      <c r="B743" s="72" t="s">
        <v>1978</v>
      </c>
      <c r="C743" s="72" t="s">
        <v>216</v>
      </c>
      <c r="D743" s="73" t="s">
        <v>1863</v>
      </c>
      <c r="E743" s="73" t="s">
        <v>722</v>
      </c>
      <c r="F743" s="72" t="s">
        <v>843</v>
      </c>
      <c r="G743" s="74" t="n">
        <v>81382</v>
      </c>
      <c r="H743" s="75" t="s">
        <v>1126</v>
      </c>
      <c r="I743" s="72" t="s">
        <v>166</v>
      </c>
    </row>
    <row r="744" customFormat="false" ht="15" hidden="false" customHeight="false" outlineLevel="0" collapsed="false">
      <c r="A744" s="72" t="n">
        <v>740</v>
      </c>
      <c r="B744" s="72" t="s">
        <v>1979</v>
      </c>
      <c r="C744" s="72" t="s">
        <v>216</v>
      </c>
      <c r="D744" s="73" t="s">
        <v>1863</v>
      </c>
      <c r="E744" s="73" t="s">
        <v>906</v>
      </c>
      <c r="F744" s="72" t="s">
        <v>907</v>
      </c>
      <c r="G744" s="74" t="n">
        <v>7681737</v>
      </c>
      <c r="H744" s="75" t="s">
        <v>1128</v>
      </c>
      <c r="I744" s="72" t="s">
        <v>166</v>
      </c>
    </row>
    <row r="745" customFormat="false" ht="15" hidden="false" customHeight="false" outlineLevel="0" collapsed="false">
      <c r="A745" s="72" t="n">
        <v>741</v>
      </c>
      <c r="B745" s="72" t="s">
        <v>1980</v>
      </c>
      <c r="C745" s="72" t="s">
        <v>216</v>
      </c>
      <c r="D745" s="73" t="s">
        <v>1863</v>
      </c>
      <c r="E745" s="73" t="s">
        <v>906</v>
      </c>
      <c r="F745" s="72" t="s">
        <v>907</v>
      </c>
      <c r="G745" s="74" t="n">
        <v>6878015</v>
      </c>
      <c r="H745" s="75" t="s">
        <v>1130</v>
      </c>
      <c r="I745" s="72" t="s">
        <v>166</v>
      </c>
    </row>
    <row r="746" customFormat="false" ht="15" hidden="false" customHeight="false" outlineLevel="0" collapsed="false">
      <c r="A746" s="72" t="n">
        <v>742</v>
      </c>
      <c r="B746" s="72" t="s">
        <v>1981</v>
      </c>
      <c r="C746" s="72" t="s">
        <v>216</v>
      </c>
      <c r="D746" s="73" t="s">
        <v>1863</v>
      </c>
      <c r="E746" s="73" t="s">
        <v>906</v>
      </c>
      <c r="F746" s="72" t="s">
        <v>907</v>
      </c>
      <c r="G746" s="74" t="n">
        <v>6405173</v>
      </c>
      <c r="H746" s="75" t="s">
        <v>1132</v>
      </c>
      <c r="I746" s="72" t="s">
        <v>166</v>
      </c>
    </row>
    <row r="747" customFormat="false" ht="15" hidden="false" customHeight="false" outlineLevel="0" collapsed="false">
      <c r="A747" s="72" t="n">
        <v>743</v>
      </c>
      <c r="B747" s="72" t="s">
        <v>1982</v>
      </c>
      <c r="C747" s="72" t="s">
        <v>216</v>
      </c>
      <c r="D747" s="73" t="s">
        <v>1863</v>
      </c>
      <c r="E747" s="73" t="s">
        <v>906</v>
      </c>
      <c r="F747" s="72" t="s">
        <v>907</v>
      </c>
      <c r="G747" s="74" t="n">
        <v>6241369</v>
      </c>
      <c r="H747" s="75" t="s">
        <v>1134</v>
      </c>
      <c r="I747" s="72" t="s">
        <v>166</v>
      </c>
    </row>
    <row r="748" customFormat="false" ht="15" hidden="false" customHeight="false" outlineLevel="0" collapsed="false">
      <c r="A748" s="72" t="n">
        <v>744</v>
      </c>
      <c r="B748" s="72" t="s">
        <v>1983</v>
      </c>
      <c r="C748" s="72" t="s">
        <v>216</v>
      </c>
      <c r="D748" s="73" t="s">
        <v>1863</v>
      </c>
      <c r="E748" s="73" t="s">
        <v>906</v>
      </c>
      <c r="F748" s="72" t="s">
        <v>907</v>
      </c>
      <c r="G748" s="74" t="n">
        <v>5586644</v>
      </c>
      <c r="H748" s="75" t="s">
        <v>1136</v>
      </c>
      <c r="I748" s="72" t="s">
        <v>166</v>
      </c>
    </row>
    <row r="749" customFormat="false" ht="15" hidden="false" customHeight="false" outlineLevel="0" collapsed="false">
      <c r="A749" s="72" t="n">
        <v>745</v>
      </c>
      <c r="B749" s="72" t="s">
        <v>1984</v>
      </c>
      <c r="C749" s="72" t="s">
        <v>216</v>
      </c>
      <c r="D749" s="73" t="s">
        <v>1863</v>
      </c>
      <c r="E749" s="73" t="s">
        <v>906</v>
      </c>
      <c r="F749" s="72" t="s">
        <v>907</v>
      </c>
      <c r="G749" s="74" t="n">
        <v>4862034</v>
      </c>
      <c r="H749" s="75" t="s">
        <v>1138</v>
      </c>
      <c r="I749" s="72" t="s">
        <v>166</v>
      </c>
    </row>
    <row r="750" customFormat="false" ht="15" hidden="false" customHeight="false" outlineLevel="0" collapsed="false">
      <c r="A750" s="72" t="n">
        <v>746</v>
      </c>
      <c r="B750" s="72" t="s">
        <v>1985</v>
      </c>
      <c r="C750" s="72" t="s">
        <v>216</v>
      </c>
      <c r="D750" s="73" t="s">
        <v>1863</v>
      </c>
      <c r="E750" s="73" t="s">
        <v>906</v>
      </c>
      <c r="F750" s="72" t="s">
        <v>907</v>
      </c>
      <c r="G750" s="74" t="n">
        <v>6550985</v>
      </c>
      <c r="H750" s="75" t="s">
        <v>1140</v>
      </c>
      <c r="I750" s="72" t="s">
        <v>166</v>
      </c>
    </row>
    <row r="751" customFormat="false" ht="15" hidden="false" customHeight="false" outlineLevel="0" collapsed="false">
      <c r="A751" s="72" t="n">
        <v>747</v>
      </c>
      <c r="B751" s="72" t="s">
        <v>1986</v>
      </c>
      <c r="C751" s="72" t="s">
        <v>216</v>
      </c>
      <c r="D751" s="73" t="s">
        <v>1863</v>
      </c>
      <c r="E751" s="73" t="s">
        <v>906</v>
      </c>
      <c r="F751" s="72" t="s">
        <v>907</v>
      </c>
      <c r="G751" s="74" t="n">
        <v>5323085</v>
      </c>
      <c r="H751" s="75" t="s">
        <v>1142</v>
      </c>
      <c r="I751" s="72" t="s">
        <v>166</v>
      </c>
    </row>
    <row r="752" customFormat="false" ht="15" hidden="false" customHeight="false" outlineLevel="0" collapsed="false">
      <c r="A752" s="72" t="n">
        <v>748</v>
      </c>
      <c r="B752" s="72" t="s">
        <v>1987</v>
      </c>
      <c r="C752" s="72" t="s">
        <v>216</v>
      </c>
      <c r="D752" s="73" t="s">
        <v>1863</v>
      </c>
      <c r="E752" s="73" t="s">
        <v>906</v>
      </c>
      <c r="F752" s="72" t="s">
        <v>907</v>
      </c>
      <c r="G752" s="74" t="n">
        <v>6579383</v>
      </c>
      <c r="H752" s="75" t="s">
        <v>1144</v>
      </c>
      <c r="I752" s="72" t="s">
        <v>166</v>
      </c>
    </row>
    <row r="753" customFormat="false" ht="15" hidden="false" customHeight="false" outlineLevel="0" collapsed="false">
      <c r="A753" s="72" t="n">
        <v>749</v>
      </c>
      <c r="B753" s="72" t="s">
        <v>1988</v>
      </c>
      <c r="C753" s="72" t="s">
        <v>216</v>
      </c>
      <c r="D753" s="73" t="s">
        <v>1863</v>
      </c>
      <c r="E753" s="73" t="s">
        <v>722</v>
      </c>
      <c r="F753" s="72" t="s">
        <v>843</v>
      </c>
      <c r="G753" s="74" t="n">
        <v>9720</v>
      </c>
      <c r="H753" s="75" t="s">
        <v>1146</v>
      </c>
      <c r="I753" s="72" t="s">
        <v>166</v>
      </c>
    </row>
    <row r="754" customFormat="false" ht="15" hidden="false" customHeight="false" outlineLevel="0" collapsed="false">
      <c r="A754" s="72" t="n">
        <v>750</v>
      </c>
      <c r="B754" s="72" t="s">
        <v>1989</v>
      </c>
      <c r="C754" s="72" t="s">
        <v>216</v>
      </c>
      <c r="D754" s="73" t="s">
        <v>1863</v>
      </c>
      <c r="E754" s="73" t="s">
        <v>722</v>
      </c>
      <c r="F754" s="72" t="s">
        <v>843</v>
      </c>
      <c r="G754" s="74" t="n">
        <v>12348</v>
      </c>
      <c r="H754" s="75" t="s">
        <v>1148</v>
      </c>
      <c r="I754" s="72" t="s">
        <v>166</v>
      </c>
    </row>
    <row r="755" customFormat="false" ht="15" hidden="false" customHeight="false" outlineLevel="0" collapsed="false">
      <c r="A755" s="72" t="n">
        <v>751</v>
      </c>
      <c r="B755" s="72" t="s">
        <v>1990</v>
      </c>
      <c r="C755" s="72" t="s">
        <v>216</v>
      </c>
      <c r="D755" s="73" t="s">
        <v>1863</v>
      </c>
      <c r="E755" s="73" t="s">
        <v>722</v>
      </c>
      <c r="F755" s="72" t="s">
        <v>843</v>
      </c>
      <c r="G755" s="74" t="n">
        <v>6638</v>
      </c>
      <c r="H755" s="75" t="s">
        <v>1150</v>
      </c>
      <c r="I755" s="72" t="s">
        <v>166</v>
      </c>
    </row>
    <row r="756" customFormat="false" ht="15" hidden="false" customHeight="false" outlineLevel="0" collapsed="false">
      <c r="A756" s="72" t="n">
        <v>752</v>
      </c>
      <c r="B756" s="72" t="s">
        <v>1991</v>
      </c>
      <c r="C756" s="72" t="s">
        <v>216</v>
      </c>
      <c r="D756" s="73" t="s">
        <v>1863</v>
      </c>
      <c r="E756" s="73" t="s">
        <v>722</v>
      </c>
      <c r="F756" s="72" t="s">
        <v>843</v>
      </c>
      <c r="G756" s="74" t="n">
        <v>7778</v>
      </c>
      <c r="H756" s="75" t="s">
        <v>1152</v>
      </c>
      <c r="I756" s="72" t="s">
        <v>166</v>
      </c>
    </row>
    <row r="757" customFormat="false" ht="15" hidden="false" customHeight="false" outlineLevel="0" collapsed="false">
      <c r="A757" s="72" t="n">
        <v>753</v>
      </c>
      <c r="B757" s="72" t="s">
        <v>1992</v>
      </c>
      <c r="C757" s="72" t="s">
        <v>216</v>
      </c>
      <c r="D757" s="73" t="s">
        <v>1863</v>
      </c>
      <c r="E757" s="73" t="s">
        <v>722</v>
      </c>
      <c r="F757" s="72" t="s">
        <v>843</v>
      </c>
      <c r="G757" s="74" t="n">
        <v>7670</v>
      </c>
      <c r="H757" s="75" t="s">
        <v>1154</v>
      </c>
      <c r="I757" s="72" t="s">
        <v>166</v>
      </c>
    </row>
    <row r="758" customFormat="false" ht="15" hidden="false" customHeight="false" outlineLevel="0" collapsed="false">
      <c r="A758" s="72" t="n">
        <v>754</v>
      </c>
      <c r="B758" s="72" t="s">
        <v>1993</v>
      </c>
      <c r="C758" s="72" t="s">
        <v>216</v>
      </c>
      <c r="D758" s="73" t="s">
        <v>1863</v>
      </c>
      <c r="E758" s="73" t="s">
        <v>722</v>
      </c>
      <c r="F758" s="72" t="s">
        <v>843</v>
      </c>
      <c r="G758" s="74" t="n">
        <v>88726</v>
      </c>
      <c r="H758" s="75" t="s">
        <v>1156</v>
      </c>
      <c r="I758" s="72" t="s">
        <v>166</v>
      </c>
    </row>
    <row r="759" customFormat="false" ht="15" hidden="false" customHeight="false" outlineLevel="0" collapsed="false">
      <c r="A759" s="72" t="n">
        <v>755</v>
      </c>
      <c r="B759" s="72" t="s">
        <v>1994</v>
      </c>
      <c r="C759" s="72" t="s">
        <v>216</v>
      </c>
      <c r="D759" s="73" t="s">
        <v>1863</v>
      </c>
      <c r="E759" s="73" t="s">
        <v>722</v>
      </c>
      <c r="F759" s="72" t="s">
        <v>843</v>
      </c>
      <c r="G759" s="74" t="n">
        <v>10332</v>
      </c>
      <c r="H759" s="75" t="s">
        <v>1158</v>
      </c>
      <c r="I759" s="72" t="s">
        <v>166</v>
      </c>
    </row>
    <row r="760" customFormat="false" ht="15" hidden="false" customHeight="false" outlineLevel="0" collapsed="false">
      <c r="A760" s="72" t="n">
        <v>756</v>
      </c>
      <c r="B760" s="72" t="s">
        <v>1995</v>
      </c>
      <c r="C760" s="72" t="s">
        <v>216</v>
      </c>
      <c r="D760" s="73" t="s">
        <v>1863</v>
      </c>
      <c r="E760" s="73" t="s">
        <v>722</v>
      </c>
      <c r="F760" s="72" t="s">
        <v>843</v>
      </c>
      <c r="G760" s="74" t="n">
        <v>22254</v>
      </c>
      <c r="H760" s="75" t="s">
        <v>1160</v>
      </c>
      <c r="I760" s="72" t="s">
        <v>166</v>
      </c>
    </row>
    <row r="761" customFormat="false" ht="15" hidden="false" customHeight="false" outlineLevel="0" collapsed="false">
      <c r="A761" s="72" t="n">
        <v>757</v>
      </c>
      <c r="B761" s="72" t="s">
        <v>1996</v>
      </c>
      <c r="C761" s="72" t="s">
        <v>216</v>
      </c>
      <c r="D761" s="73" t="s">
        <v>1863</v>
      </c>
      <c r="E761" s="73" t="s">
        <v>722</v>
      </c>
      <c r="F761" s="72" t="s">
        <v>843</v>
      </c>
      <c r="G761" s="74" t="n">
        <v>156374</v>
      </c>
      <c r="H761" s="75" t="s">
        <v>1162</v>
      </c>
      <c r="I761" s="72" t="s">
        <v>166</v>
      </c>
    </row>
    <row r="762" customFormat="false" ht="15" hidden="false" customHeight="false" outlineLevel="0" collapsed="false">
      <c r="A762" s="72" t="n">
        <v>758</v>
      </c>
      <c r="B762" s="72" t="s">
        <v>1997</v>
      </c>
      <c r="C762" s="72" t="s">
        <v>216</v>
      </c>
      <c r="D762" s="73" t="s">
        <v>1863</v>
      </c>
      <c r="E762" s="73" t="s">
        <v>722</v>
      </c>
      <c r="F762" s="72" t="s">
        <v>843</v>
      </c>
      <c r="G762" s="74" t="n">
        <v>168884</v>
      </c>
      <c r="H762" s="75" t="s">
        <v>1164</v>
      </c>
      <c r="I762" s="72" t="s">
        <v>166</v>
      </c>
    </row>
    <row r="763" customFormat="false" ht="15" hidden="false" customHeight="false" outlineLevel="0" collapsed="false">
      <c r="A763" s="72" t="n">
        <v>759</v>
      </c>
      <c r="B763" s="72" t="s">
        <v>1998</v>
      </c>
      <c r="C763" s="72" t="s">
        <v>216</v>
      </c>
      <c r="D763" s="73" t="s">
        <v>1863</v>
      </c>
      <c r="E763" s="73" t="s">
        <v>722</v>
      </c>
      <c r="F763" s="72" t="s">
        <v>843</v>
      </c>
      <c r="G763" s="74" t="n">
        <v>159036</v>
      </c>
      <c r="H763" s="75" t="s">
        <v>1166</v>
      </c>
      <c r="I763" s="72" t="s">
        <v>166</v>
      </c>
    </row>
    <row r="764" customFormat="false" ht="15" hidden="false" customHeight="false" outlineLevel="0" collapsed="false">
      <c r="A764" s="72" t="n">
        <v>760</v>
      </c>
      <c r="B764" s="72" t="s">
        <v>1999</v>
      </c>
      <c r="C764" s="72" t="s">
        <v>216</v>
      </c>
      <c r="D764" s="73" t="s">
        <v>1863</v>
      </c>
      <c r="E764" s="73" t="s">
        <v>722</v>
      </c>
      <c r="F764" s="72" t="s">
        <v>843</v>
      </c>
      <c r="G764" s="74" t="n">
        <v>378628</v>
      </c>
      <c r="H764" s="75" t="s">
        <v>1168</v>
      </c>
      <c r="I764" s="72" t="s">
        <v>166</v>
      </c>
    </row>
    <row r="765" customFormat="false" ht="15" hidden="false" customHeight="false" outlineLevel="0" collapsed="false">
      <c r="A765" s="72" t="n">
        <v>761</v>
      </c>
      <c r="B765" s="72" t="s">
        <v>2000</v>
      </c>
      <c r="C765" s="72" t="s">
        <v>216</v>
      </c>
      <c r="D765" s="73" t="s">
        <v>1863</v>
      </c>
      <c r="E765" s="73" t="s">
        <v>722</v>
      </c>
      <c r="F765" s="72" t="s">
        <v>843</v>
      </c>
      <c r="G765" s="74" t="n">
        <v>119414</v>
      </c>
      <c r="H765" s="75" t="s">
        <v>1170</v>
      </c>
      <c r="I765" s="72" t="s">
        <v>166</v>
      </c>
    </row>
    <row r="766" customFormat="false" ht="15" hidden="false" customHeight="false" outlineLevel="0" collapsed="false">
      <c r="A766" s="72" t="n">
        <v>762</v>
      </c>
      <c r="B766" s="72" t="s">
        <v>2001</v>
      </c>
      <c r="C766" s="72" t="s">
        <v>222</v>
      </c>
      <c r="D766" s="73" t="s">
        <v>2002</v>
      </c>
      <c r="E766" s="73" t="s">
        <v>1112</v>
      </c>
      <c r="F766" s="72" t="s">
        <v>1113</v>
      </c>
      <c r="G766" s="74" t="n">
        <v>1247</v>
      </c>
      <c r="H766" s="75" t="s">
        <v>1176</v>
      </c>
      <c r="I766" s="72" t="s">
        <v>166</v>
      </c>
    </row>
    <row r="767" customFormat="false" ht="15" hidden="false" customHeight="false" outlineLevel="0" collapsed="false">
      <c r="A767" s="72" t="n">
        <v>763</v>
      </c>
      <c r="B767" s="72" t="s">
        <v>2003</v>
      </c>
      <c r="C767" s="72" t="s">
        <v>222</v>
      </c>
      <c r="D767" s="73" t="s">
        <v>2002</v>
      </c>
      <c r="E767" s="73" t="s">
        <v>1112</v>
      </c>
      <c r="F767" s="72" t="s">
        <v>1113</v>
      </c>
      <c r="G767" s="74" t="n">
        <v>1372</v>
      </c>
      <c r="H767" s="75" t="s">
        <v>1178</v>
      </c>
      <c r="I767" s="72" t="s">
        <v>166</v>
      </c>
    </row>
    <row r="768" customFormat="false" ht="15" hidden="false" customHeight="false" outlineLevel="0" collapsed="false">
      <c r="A768" s="72" t="n">
        <v>764</v>
      </c>
      <c r="B768" s="72" t="s">
        <v>2004</v>
      </c>
      <c r="C768" s="72" t="s">
        <v>222</v>
      </c>
      <c r="D768" s="73" t="s">
        <v>2002</v>
      </c>
      <c r="E768" s="73" t="s">
        <v>1112</v>
      </c>
      <c r="F768" s="72" t="s">
        <v>1113</v>
      </c>
      <c r="G768" s="74" t="n">
        <v>1324</v>
      </c>
      <c r="H768" s="75" t="s">
        <v>1180</v>
      </c>
      <c r="I768" s="72" t="s">
        <v>166</v>
      </c>
    </row>
    <row r="769" customFormat="false" ht="15" hidden="false" customHeight="false" outlineLevel="0" collapsed="false">
      <c r="A769" s="72" t="n">
        <v>765</v>
      </c>
      <c r="B769" s="72" t="s">
        <v>2005</v>
      </c>
      <c r="C769" s="72" t="s">
        <v>222</v>
      </c>
      <c r="D769" s="73" t="s">
        <v>2002</v>
      </c>
      <c r="E769" s="73" t="s">
        <v>1112</v>
      </c>
      <c r="F769" s="72" t="s">
        <v>1113</v>
      </c>
      <c r="G769" s="74" t="n">
        <v>5350</v>
      </c>
      <c r="H769" s="75" t="s">
        <v>1182</v>
      </c>
      <c r="I769" s="72" t="s">
        <v>166</v>
      </c>
    </row>
    <row r="770" customFormat="false" ht="15" hidden="false" customHeight="false" outlineLevel="0" collapsed="false">
      <c r="A770" s="72" t="n">
        <v>766</v>
      </c>
      <c r="B770" s="72" t="s">
        <v>2006</v>
      </c>
      <c r="C770" s="72" t="s">
        <v>225</v>
      </c>
      <c r="D770" s="72" t="s">
        <v>1856</v>
      </c>
      <c r="E770" s="73" t="s">
        <v>722</v>
      </c>
      <c r="F770" s="72" t="s">
        <v>723</v>
      </c>
      <c r="G770" s="74" t="n">
        <v>52570</v>
      </c>
      <c r="H770" s="75" t="s">
        <v>1723</v>
      </c>
      <c r="I770" s="72" t="s">
        <v>166</v>
      </c>
    </row>
    <row r="771" customFormat="false" ht="15" hidden="false" customHeight="false" outlineLevel="0" collapsed="false">
      <c r="A771" s="72" t="n">
        <v>767</v>
      </c>
      <c r="B771" s="72" t="s">
        <v>2007</v>
      </c>
      <c r="C771" s="72" t="s">
        <v>225</v>
      </c>
      <c r="D771" s="72" t="s">
        <v>1856</v>
      </c>
      <c r="E771" s="73" t="s">
        <v>722</v>
      </c>
      <c r="F771" s="72" t="s">
        <v>723</v>
      </c>
      <c r="G771" s="74" t="n">
        <v>895</v>
      </c>
      <c r="H771" s="75" t="s">
        <v>1725</v>
      </c>
      <c r="I771" s="72" t="s">
        <v>166</v>
      </c>
    </row>
    <row r="772" customFormat="false" ht="15" hidden="false" customHeight="false" outlineLevel="0" collapsed="false">
      <c r="A772" s="72" t="n">
        <v>768</v>
      </c>
      <c r="B772" s="72" t="s">
        <v>2008</v>
      </c>
      <c r="C772" s="72" t="s">
        <v>225</v>
      </c>
      <c r="D772" s="72" t="s">
        <v>1856</v>
      </c>
      <c r="E772" s="73" t="s">
        <v>722</v>
      </c>
      <c r="F772" s="72" t="s">
        <v>723</v>
      </c>
      <c r="G772" s="74" t="n">
        <v>2943</v>
      </c>
      <c r="H772" s="75" t="s">
        <v>1727</v>
      </c>
      <c r="I772" s="72" t="s">
        <v>166</v>
      </c>
    </row>
    <row r="773" customFormat="false" ht="15" hidden="false" customHeight="false" outlineLevel="0" collapsed="false">
      <c r="A773" s="72" t="n">
        <v>769</v>
      </c>
      <c r="B773" s="72" t="s">
        <v>2009</v>
      </c>
      <c r="C773" s="72" t="s">
        <v>225</v>
      </c>
      <c r="D773" s="72" t="s">
        <v>1856</v>
      </c>
      <c r="E773" s="73" t="s">
        <v>722</v>
      </c>
      <c r="F773" s="72" t="s">
        <v>723</v>
      </c>
      <c r="G773" s="74" t="n">
        <v>67060</v>
      </c>
      <c r="H773" s="75" t="s">
        <v>724</v>
      </c>
      <c r="I773" s="72" t="s">
        <v>166</v>
      </c>
    </row>
    <row r="774" customFormat="false" ht="15" hidden="false" customHeight="false" outlineLevel="0" collapsed="false">
      <c r="A774" s="72" t="n">
        <v>770</v>
      </c>
      <c r="B774" s="72" t="s">
        <v>2010</v>
      </c>
      <c r="C774" s="72" t="s">
        <v>225</v>
      </c>
      <c r="D774" s="72" t="s">
        <v>1856</v>
      </c>
      <c r="E774" s="73" t="s">
        <v>722</v>
      </c>
      <c r="F774" s="72" t="s">
        <v>723</v>
      </c>
      <c r="G774" s="74" t="n">
        <v>186403</v>
      </c>
      <c r="H774" s="75" t="s">
        <v>726</v>
      </c>
      <c r="I774" s="72" t="s">
        <v>166</v>
      </c>
    </row>
    <row r="775" customFormat="false" ht="15" hidden="false" customHeight="false" outlineLevel="0" collapsed="false">
      <c r="A775" s="72" t="n">
        <v>771</v>
      </c>
      <c r="B775" s="72" t="s">
        <v>2011</v>
      </c>
      <c r="C775" s="72" t="s">
        <v>225</v>
      </c>
      <c r="D775" s="72" t="s">
        <v>1856</v>
      </c>
      <c r="E775" s="73" t="s">
        <v>722</v>
      </c>
      <c r="F775" s="72" t="s">
        <v>723</v>
      </c>
      <c r="G775" s="74" t="n">
        <v>375948</v>
      </c>
      <c r="H775" s="75" t="s">
        <v>1731</v>
      </c>
      <c r="I775" s="72" t="s">
        <v>166</v>
      </c>
    </row>
    <row r="776" customFormat="false" ht="15" hidden="false" customHeight="false" outlineLevel="0" collapsed="false">
      <c r="A776" s="72" t="n">
        <v>772</v>
      </c>
      <c r="B776" s="72" t="s">
        <v>2012</v>
      </c>
      <c r="C776" s="72" t="s">
        <v>225</v>
      </c>
      <c r="D776" s="72" t="s">
        <v>1856</v>
      </c>
      <c r="E776" s="73" t="s">
        <v>1112</v>
      </c>
      <c r="F776" s="72" t="s">
        <v>1113</v>
      </c>
      <c r="G776" s="74" t="n">
        <v>435</v>
      </c>
      <c r="H776" s="75" t="s">
        <v>1737</v>
      </c>
      <c r="I776" s="72" t="s">
        <v>166</v>
      </c>
    </row>
    <row r="777" customFormat="false" ht="15" hidden="false" customHeight="false" outlineLevel="0" collapsed="false">
      <c r="A777" s="72" t="n">
        <v>773</v>
      </c>
      <c r="B777" s="72" t="s">
        <v>2013</v>
      </c>
      <c r="C777" s="72" t="s">
        <v>225</v>
      </c>
      <c r="D777" s="72" t="s">
        <v>1856</v>
      </c>
      <c r="E777" s="73" t="s">
        <v>617</v>
      </c>
      <c r="F777" s="72" t="s">
        <v>834</v>
      </c>
      <c r="G777" s="74" t="n">
        <v>1227</v>
      </c>
      <c r="H777" s="75" t="s">
        <v>1800</v>
      </c>
      <c r="I777" s="72" t="s">
        <v>166</v>
      </c>
    </row>
    <row r="778" customFormat="false" ht="15" hidden="false" customHeight="false" outlineLevel="0" collapsed="false">
      <c r="A778" s="72" t="n">
        <v>774</v>
      </c>
      <c r="B778" s="72" t="s">
        <v>2014</v>
      </c>
      <c r="C778" s="72" t="s">
        <v>234</v>
      </c>
      <c r="D778" s="72" t="s">
        <v>2015</v>
      </c>
      <c r="E778" s="73" t="s">
        <v>737</v>
      </c>
      <c r="F778" s="72" t="s">
        <v>2016</v>
      </c>
      <c r="G778" s="74" t="n">
        <v>27283</v>
      </c>
      <c r="H778" s="75" t="s">
        <v>2017</v>
      </c>
      <c r="I778" s="73" t="s">
        <v>152</v>
      </c>
    </row>
    <row r="779" customFormat="false" ht="15" hidden="false" customHeight="false" outlineLevel="0" collapsed="false">
      <c r="A779" s="72" t="n">
        <v>775</v>
      </c>
      <c r="B779" s="72" t="s">
        <v>2018</v>
      </c>
      <c r="C779" s="72" t="s">
        <v>234</v>
      </c>
      <c r="D779" s="72" t="s">
        <v>2015</v>
      </c>
      <c r="E779" s="73" t="s">
        <v>737</v>
      </c>
      <c r="F779" s="72" t="s">
        <v>2016</v>
      </c>
      <c r="G779" s="74" t="n">
        <v>6568</v>
      </c>
      <c r="H779" s="75" t="s">
        <v>2019</v>
      </c>
      <c r="I779" s="73" t="s">
        <v>152</v>
      </c>
    </row>
    <row r="780" customFormat="false" ht="15" hidden="false" customHeight="false" outlineLevel="0" collapsed="false">
      <c r="A780" s="72" t="n">
        <v>776</v>
      </c>
      <c r="B780" s="72" t="s">
        <v>2020</v>
      </c>
      <c r="C780" s="72" t="s">
        <v>234</v>
      </c>
      <c r="D780" s="72" t="s">
        <v>2015</v>
      </c>
      <c r="E780" s="73" t="s">
        <v>737</v>
      </c>
      <c r="F780" s="72" t="s">
        <v>2016</v>
      </c>
      <c r="G780" s="74" t="n">
        <v>14563</v>
      </c>
      <c r="H780" s="75" t="s">
        <v>2021</v>
      </c>
      <c r="I780" s="73" t="s">
        <v>152</v>
      </c>
    </row>
    <row r="781" customFormat="false" ht="15" hidden="false" customHeight="false" outlineLevel="0" collapsed="false">
      <c r="A781" s="72" t="n">
        <v>777</v>
      </c>
      <c r="B781" s="72" t="s">
        <v>2022</v>
      </c>
      <c r="C781" s="72" t="s">
        <v>234</v>
      </c>
      <c r="D781" s="72" t="s">
        <v>2015</v>
      </c>
      <c r="E781" s="73" t="s">
        <v>617</v>
      </c>
      <c r="F781" s="72" t="s">
        <v>2016</v>
      </c>
      <c r="G781" s="74" t="n">
        <v>11088</v>
      </c>
      <c r="H781" s="75" t="s">
        <v>2023</v>
      </c>
      <c r="I781" s="73" t="s">
        <v>152</v>
      </c>
    </row>
    <row r="782" customFormat="false" ht="15" hidden="false" customHeight="false" outlineLevel="0" collapsed="false">
      <c r="A782" s="72" t="n">
        <v>778</v>
      </c>
      <c r="B782" s="72" t="s">
        <v>2024</v>
      </c>
      <c r="C782" s="72" t="s">
        <v>234</v>
      </c>
      <c r="D782" s="72" t="s">
        <v>2015</v>
      </c>
      <c r="E782" s="73" t="s">
        <v>617</v>
      </c>
      <c r="F782" s="72" t="s">
        <v>2016</v>
      </c>
      <c r="G782" s="74" t="n">
        <v>29256</v>
      </c>
      <c r="H782" s="75" t="s">
        <v>2025</v>
      </c>
      <c r="I782" s="73" t="s">
        <v>152</v>
      </c>
    </row>
    <row r="783" customFormat="false" ht="15" hidden="false" customHeight="false" outlineLevel="0" collapsed="false">
      <c r="A783" s="72" t="n">
        <v>779</v>
      </c>
      <c r="B783" s="72" t="s">
        <v>2026</v>
      </c>
      <c r="C783" s="72" t="s">
        <v>234</v>
      </c>
      <c r="D783" s="72" t="s">
        <v>2015</v>
      </c>
      <c r="E783" s="73" t="s">
        <v>737</v>
      </c>
      <c r="F783" s="72" t="s">
        <v>2016</v>
      </c>
      <c r="G783" s="74" t="n">
        <v>8346</v>
      </c>
      <c r="H783" s="75" t="s">
        <v>2027</v>
      </c>
      <c r="I783" s="73" t="s">
        <v>152</v>
      </c>
    </row>
    <row r="784" customFormat="false" ht="15" hidden="false" customHeight="false" outlineLevel="0" collapsed="false">
      <c r="A784" s="72" t="n">
        <v>780</v>
      </c>
      <c r="B784" s="72" t="s">
        <v>2028</v>
      </c>
      <c r="C784" s="72" t="s">
        <v>234</v>
      </c>
      <c r="D784" s="72" t="s">
        <v>2015</v>
      </c>
      <c r="E784" s="73" t="s">
        <v>737</v>
      </c>
      <c r="F784" s="72" t="s">
        <v>2016</v>
      </c>
      <c r="G784" s="74" t="n">
        <v>12786</v>
      </c>
      <c r="H784" s="75" t="s">
        <v>2029</v>
      </c>
      <c r="I784" s="73" t="s">
        <v>152</v>
      </c>
    </row>
    <row r="785" customFormat="false" ht="15" hidden="false" customHeight="false" outlineLevel="0" collapsed="false">
      <c r="A785" s="72" t="n">
        <v>781</v>
      </c>
      <c r="B785" s="72" t="s">
        <v>2030</v>
      </c>
      <c r="C785" s="72" t="s">
        <v>234</v>
      </c>
      <c r="D785" s="72" t="s">
        <v>2015</v>
      </c>
      <c r="E785" s="73" t="s">
        <v>737</v>
      </c>
      <c r="F785" s="72" t="s">
        <v>2016</v>
      </c>
      <c r="G785" s="74" t="n">
        <v>15600</v>
      </c>
      <c r="H785" s="75" t="s">
        <v>2031</v>
      </c>
      <c r="I785" s="73" t="s">
        <v>152</v>
      </c>
    </row>
    <row r="786" customFormat="false" ht="15" hidden="false" customHeight="false" outlineLevel="0" collapsed="false">
      <c r="A786" s="72" t="n">
        <v>782</v>
      </c>
      <c r="B786" s="72" t="s">
        <v>2032</v>
      </c>
      <c r="C786" s="72" t="s">
        <v>234</v>
      </c>
      <c r="D786" s="72" t="s">
        <v>2015</v>
      </c>
      <c r="E786" s="73" t="s">
        <v>737</v>
      </c>
      <c r="F786" s="72" t="s">
        <v>2016</v>
      </c>
      <c r="G786" s="74" t="n">
        <v>12118</v>
      </c>
      <c r="H786" s="75" t="s">
        <v>2033</v>
      </c>
      <c r="I786" s="73" t="s">
        <v>152</v>
      </c>
    </row>
    <row r="787" customFormat="false" ht="15" hidden="false" customHeight="false" outlineLevel="0" collapsed="false">
      <c r="A787" s="72" t="n">
        <v>783</v>
      </c>
      <c r="B787" s="72" t="s">
        <v>2034</v>
      </c>
      <c r="C787" s="72" t="s">
        <v>234</v>
      </c>
      <c r="D787" s="72" t="s">
        <v>2015</v>
      </c>
      <c r="E787" s="73" t="s">
        <v>617</v>
      </c>
      <c r="F787" s="72" t="s">
        <v>2016</v>
      </c>
      <c r="G787" s="74" t="n">
        <v>4380</v>
      </c>
      <c r="H787" s="75" t="s">
        <v>2035</v>
      </c>
      <c r="I787" s="73" t="s">
        <v>152</v>
      </c>
    </row>
    <row r="788" customFormat="false" ht="15" hidden="false" customHeight="false" outlineLevel="0" collapsed="false">
      <c r="A788" s="72" t="n">
        <v>784</v>
      </c>
      <c r="B788" s="72" t="s">
        <v>2036</v>
      </c>
      <c r="C788" s="72" t="s">
        <v>234</v>
      </c>
      <c r="D788" s="72" t="s">
        <v>2015</v>
      </c>
      <c r="E788" s="73" t="s">
        <v>737</v>
      </c>
      <c r="F788" s="72" t="s">
        <v>2016</v>
      </c>
      <c r="G788" s="74" t="n">
        <v>3526</v>
      </c>
      <c r="H788" s="75" t="s">
        <v>2037</v>
      </c>
      <c r="I788" s="73" t="s">
        <v>152</v>
      </c>
    </row>
    <row r="789" customFormat="false" ht="15" hidden="false" customHeight="false" outlineLevel="0" collapsed="false">
      <c r="A789" s="72" t="n">
        <v>785</v>
      </c>
      <c r="B789" s="72" t="s">
        <v>2038</v>
      </c>
      <c r="C789" s="72" t="s">
        <v>234</v>
      </c>
      <c r="D789" s="72" t="s">
        <v>2015</v>
      </c>
      <c r="E789" s="73" t="s">
        <v>617</v>
      </c>
      <c r="F789" s="72" t="s">
        <v>2016</v>
      </c>
      <c r="G789" s="74" t="n">
        <v>935</v>
      </c>
      <c r="H789" s="75" t="s">
        <v>2039</v>
      </c>
      <c r="I789" s="73" t="s">
        <v>152</v>
      </c>
    </row>
    <row r="790" customFormat="false" ht="15" hidden="false" customHeight="false" outlineLevel="0" collapsed="false">
      <c r="A790" s="72" t="n">
        <v>786</v>
      </c>
      <c r="B790" s="72" t="s">
        <v>2040</v>
      </c>
      <c r="C790" s="72" t="s">
        <v>234</v>
      </c>
      <c r="D790" s="72" t="s">
        <v>2015</v>
      </c>
      <c r="E790" s="73" t="s">
        <v>617</v>
      </c>
      <c r="F790" s="72" t="s">
        <v>2016</v>
      </c>
      <c r="G790" s="74" t="n">
        <v>49479</v>
      </c>
      <c r="H790" s="75" t="s">
        <v>2041</v>
      </c>
      <c r="I790" s="73" t="s">
        <v>152</v>
      </c>
    </row>
    <row r="791" customFormat="false" ht="15" hidden="false" customHeight="false" outlineLevel="0" collapsed="false">
      <c r="A791" s="72" t="n">
        <v>787</v>
      </c>
      <c r="B791" s="72" t="s">
        <v>2042</v>
      </c>
      <c r="C791" s="72" t="s">
        <v>234</v>
      </c>
      <c r="D791" s="72" t="s">
        <v>2015</v>
      </c>
      <c r="E791" s="73" t="s">
        <v>737</v>
      </c>
      <c r="F791" s="72" t="s">
        <v>2016</v>
      </c>
      <c r="G791" s="74" t="n">
        <v>26631</v>
      </c>
      <c r="H791" s="75" t="s">
        <v>2043</v>
      </c>
      <c r="I791" s="73" t="s">
        <v>152</v>
      </c>
    </row>
    <row r="792" customFormat="false" ht="15" hidden="false" customHeight="false" outlineLevel="0" collapsed="false">
      <c r="A792" s="72" t="n">
        <v>788</v>
      </c>
      <c r="B792" s="72" t="s">
        <v>2044</v>
      </c>
      <c r="C792" s="72" t="s">
        <v>234</v>
      </c>
      <c r="D792" s="72" t="s">
        <v>2015</v>
      </c>
      <c r="E792" s="73" t="s">
        <v>617</v>
      </c>
      <c r="F792" s="72" t="s">
        <v>2016</v>
      </c>
      <c r="G792" s="74" t="n">
        <v>7887</v>
      </c>
      <c r="H792" s="75" t="s">
        <v>2045</v>
      </c>
      <c r="I792" s="73" t="s">
        <v>152</v>
      </c>
    </row>
    <row r="793" customFormat="false" ht="15" hidden="false" customHeight="false" outlineLevel="0" collapsed="false">
      <c r="A793" s="72" t="n">
        <v>789</v>
      </c>
      <c r="B793" s="72" t="s">
        <v>2046</v>
      </c>
      <c r="C793" s="72" t="s">
        <v>234</v>
      </c>
      <c r="D793" s="72" t="s">
        <v>2015</v>
      </c>
      <c r="E793" s="73" t="s">
        <v>737</v>
      </c>
      <c r="F793" s="72" t="s">
        <v>2016</v>
      </c>
      <c r="G793" s="74" t="n">
        <v>15635</v>
      </c>
      <c r="H793" s="75" t="s">
        <v>2047</v>
      </c>
      <c r="I793" s="73" t="s">
        <v>152</v>
      </c>
    </row>
    <row r="794" customFormat="false" ht="15" hidden="false" customHeight="false" outlineLevel="0" collapsed="false">
      <c r="A794" s="72" t="n">
        <v>790</v>
      </c>
      <c r="B794" s="72" t="s">
        <v>2048</v>
      </c>
      <c r="C794" s="72" t="s">
        <v>234</v>
      </c>
      <c r="D794" s="72" t="s">
        <v>2015</v>
      </c>
      <c r="E794" s="73" t="s">
        <v>737</v>
      </c>
      <c r="F794" s="72" t="s">
        <v>2016</v>
      </c>
      <c r="G794" s="74" t="n">
        <v>29858</v>
      </c>
      <c r="H794" s="75" t="s">
        <v>2049</v>
      </c>
      <c r="I794" s="73" t="s">
        <v>152</v>
      </c>
    </row>
    <row r="795" customFormat="false" ht="15" hidden="false" customHeight="false" outlineLevel="0" collapsed="false">
      <c r="A795" s="72" t="n">
        <v>791</v>
      </c>
      <c r="B795" s="72" t="s">
        <v>2050</v>
      </c>
      <c r="C795" s="72" t="s">
        <v>234</v>
      </c>
      <c r="D795" s="72" t="s">
        <v>2015</v>
      </c>
      <c r="E795" s="73" t="s">
        <v>617</v>
      </c>
      <c r="F795" s="72" t="s">
        <v>2016</v>
      </c>
      <c r="G795" s="74" t="n">
        <v>822</v>
      </c>
      <c r="H795" s="75" t="s">
        <v>2051</v>
      </c>
      <c r="I795" s="73" t="s">
        <v>152</v>
      </c>
    </row>
    <row r="796" customFormat="false" ht="15" hidden="false" customHeight="false" outlineLevel="0" collapsed="false">
      <c r="A796" s="72" t="n">
        <v>792</v>
      </c>
      <c r="B796" s="72" t="s">
        <v>2052</v>
      </c>
      <c r="C796" s="72" t="s">
        <v>234</v>
      </c>
      <c r="D796" s="72" t="s">
        <v>2015</v>
      </c>
      <c r="E796" s="73" t="s">
        <v>617</v>
      </c>
      <c r="F796" s="72" t="s">
        <v>2016</v>
      </c>
      <c r="G796" s="74" t="n">
        <v>4394</v>
      </c>
      <c r="H796" s="75" t="s">
        <v>2053</v>
      </c>
      <c r="I796" s="73" t="s">
        <v>152</v>
      </c>
    </row>
    <row r="797" customFormat="false" ht="15" hidden="false" customHeight="false" outlineLevel="0" collapsed="false">
      <c r="A797" s="72" t="n">
        <v>793</v>
      </c>
      <c r="B797" s="72" t="s">
        <v>2054</v>
      </c>
      <c r="C797" s="72" t="s">
        <v>234</v>
      </c>
      <c r="D797" s="72" t="s">
        <v>2015</v>
      </c>
      <c r="E797" s="73" t="s">
        <v>617</v>
      </c>
      <c r="F797" s="72" t="s">
        <v>2016</v>
      </c>
      <c r="G797" s="74" t="n">
        <v>6764</v>
      </c>
      <c r="H797" s="75" t="s">
        <v>2055</v>
      </c>
      <c r="I797" s="73" t="s">
        <v>152</v>
      </c>
    </row>
    <row r="798" customFormat="false" ht="15" hidden="false" customHeight="false" outlineLevel="0" collapsed="false">
      <c r="A798" s="72" t="n">
        <v>794</v>
      </c>
      <c r="B798" s="72" t="s">
        <v>2056</v>
      </c>
      <c r="C798" s="72" t="s">
        <v>234</v>
      </c>
      <c r="D798" s="72" t="s">
        <v>2015</v>
      </c>
      <c r="E798" s="73" t="s">
        <v>617</v>
      </c>
      <c r="F798" s="72" t="s">
        <v>2016</v>
      </c>
      <c r="G798" s="74" t="n">
        <v>2600</v>
      </c>
      <c r="H798" s="75" t="s">
        <v>2057</v>
      </c>
      <c r="I798" s="73" t="s">
        <v>152</v>
      </c>
    </row>
    <row r="799" customFormat="false" ht="15" hidden="false" customHeight="false" outlineLevel="0" collapsed="false">
      <c r="A799" s="72" t="n">
        <v>795</v>
      </c>
      <c r="B799" s="72" t="s">
        <v>2058</v>
      </c>
      <c r="C799" s="72" t="s">
        <v>234</v>
      </c>
      <c r="D799" s="72" t="s">
        <v>2015</v>
      </c>
      <c r="E799" s="73" t="s">
        <v>737</v>
      </c>
      <c r="F799" s="72" t="s">
        <v>2016</v>
      </c>
      <c r="G799" s="74" t="n">
        <v>21382</v>
      </c>
      <c r="H799" s="75" t="s">
        <v>2059</v>
      </c>
      <c r="I799" s="73" t="s">
        <v>152</v>
      </c>
    </row>
    <row r="800" customFormat="false" ht="15" hidden="false" customHeight="false" outlineLevel="0" collapsed="false">
      <c r="A800" s="72" t="n">
        <v>796</v>
      </c>
      <c r="B800" s="72" t="s">
        <v>2060</v>
      </c>
      <c r="C800" s="72" t="s">
        <v>234</v>
      </c>
      <c r="D800" s="72" t="s">
        <v>2015</v>
      </c>
      <c r="E800" s="73" t="s">
        <v>617</v>
      </c>
      <c r="F800" s="72" t="s">
        <v>2016</v>
      </c>
      <c r="G800" s="74" t="n">
        <v>14468</v>
      </c>
      <c r="H800" s="75" t="s">
        <v>2061</v>
      </c>
      <c r="I800" s="73" t="s">
        <v>152</v>
      </c>
    </row>
    <row r="801" customFormat="false" ht="15" hidden="false" customHeight="false" outlineLevel="0" collapsed="false">
      <c r="A801" s="72" t="n">
        <v>797</v>
      </c>
      <c r="B801" s="72" t="s">
        <v>2062</v>
      </c>
      <c r="C801" s="72" t="s">
        <v>234</v>
      </c>
      <c r="D801" s="72" t="s">
        <v>2015</v>
      </c>
      <c r="E801" s="73" t="s">
        <v>737</v>
      </c>
      <c r="F801" s="72" t="s">
        <v>2016</v>
      </c>
      <c r="G801" s="74" t="n">
        <v>10091</v>
      </c>
      <c r="H801" s="75" t="s">
        <v>2063</v>
      </c>
      <c r="I801" s="73" t="s">
        <v>152</v>
      </c>
    </row>
    <row r="802" customFormat="false" ht="15" hidden="false" customHeight="false" outlineLevel="0" collapsed="false">
      <c r="A802" s="72" t="n">
        <v>798</v>
      </c>
      <c r="B802" s="72" t="s">
        <v>2064</v>
      </c>
      <c r="C802" s="72" t="s">
        <v>234</v>
      </c>
      <c r="D802" s="72" t="s">
        <v>2015</v>
      </c>
      <c r="E802" s="73" t="s">
        <v>737</v>
      </c>
      <c r="F802" s="72" t="s">
        <v>2016</v>
      </c>
      <c r="G802" s="74" t="n">
        <v>17011</v>
      </c>
      <c r="H802" s="75" t="s">
        <v>2065</v>
      </c>
      <c r="I802" s="73" t="s">
        <v>152</v>
      </c>
    </row>
    <row r="803" customFormat="false" ht="15" hidden="false" customHeight="false" outlineLevel="0" collapsed="false">
      <c r="A803" s="72" t="n">
        <v>799</v>
      </c>
      <c r="B803" s="72" t="s">
        <v>2066</v>
      </c>
      <c r="C803" s="72" t="s">
        <v>234</v>
      </c>
      <c r="D803" s="72" t="s">
        <v>2015</v>
      </c>
      <c r="E803" s="73" t="s">
        <v>737</v>
      </c>
      <c r="F803" s="72" t="s">
        <v>2016</v>
      </c>
      <c r="G803" s="74" t="n">
        <v>16226</v>
      </c>
      <c r="H803" s="75" t="s">
        <v>2067</v>
      </c>
      <c r="I803" s="73" t="s">
        <v>152</v>
      </c>
    </row>
    <row r="804" customFormat="false" ht="15" hidden="false" customHeight="false" outlineLevel="0" collapsed="false">
      <c r="A804" s="72" t="n">
        <v>800</v>
      </c>
      <c r="B804" s="72" t="s">
        <v>2068</v>
      </c>
      <c r="C804" s="72" t="s">
        <v>234</v>
      </c>
      <c r="D804" s="72" t="s">
        <v>2015</v>
      </c>
      <c r="E804" s="73" t="s">
        <v>737</v>
      </c>
      <c r="F804" s="72" t="s">
        <v>2016</v>
      </c>
      <c r="G804" s="74" t="n">
        <v>31766</v>
      </c>
      <c r="H804" s="75" t="s">
        <v>2069</v>
      </c>
      <c r="I804" s="73" t="s">
        <v>152</v>
      </c>
    </row>
    <row r="805" customFormat="false" ht="15" hidden="false" customHeight="false" outlineLevel="0" collapsed="false">
      <c r="A805" s="72" t="n">
        <v>801</v>
      </c>
      <c r="B805" s="72" t="s">
        <v>2070</v>
      </c>
      <c r="C805" s="72" t="s">
        <v>234</v>
      </c>
      <c r="D805" s="72" t="s">
        <v>2015</v>
      </c>
      <c r="E805" s="73" t="s">
        <v>737</v>
      </c>
      <c r="F805" s="72" t="s">
        <v>2016</v>
      </c>
      <c r="G805" s="74" t="n">
        <v>19987</v>
      </c>
      <c r="H805" s="75" t="s">
        <v>2071</v>
      </c>
      <c r="I805" s="73" t="s">
        <v>152</v>
      </c>
    </row>
    <row r="806" customFormat="false" ht="15" hidden="false" customHeight="false" outlineLevel="0" collapsed="false">
      <c r="A806" s="72" t="n">
        <v>802</v>
      </c>
      <c r="B806" s="72" t="s">
        <v>2072</v>
      </c>
      <c r="C806" s="72" t="s">
        <v>234</v>
      </c>
      <c r="D806" s="72" t="s">
        <v>2015</v>
      </c>
      <c r="E806" s="73" t="s">
        <v>737</v>
      </c>
      <c r="F806" s="72" t="s">
        <v>2016</v>
      </c>
      <c r="G806" s="74" t="n">
        <v>24520</v>
      </c>
      <c r="H806" s="75" t="s">
        <v>2073</v>
      </c>
      <c r="I806" s="73" t="s">
        <v>152</v>
      </c>
    </row>
    <row r="807" customFormat="false" ht="15" hidden="false" customHeight="false" outlineLevel="0" collapsed="false">
      <c r="A807" s="72" t="n">
        <v>803</v>
      </c>
      <c r="B807" s="72" t="s">
        <v>2074</v>
      </c>
      <c r="C807" s="72" t="s">
        <v>234</v>
      </c>
      <c r="D807" s="72" t="s">
        <v>2015</v>
      </c>
      <c r="E807" s="73" t="s">
        <v>737</v>
      </c>
      <c r="F807" s="72" t="s">
        <v>2016</v>
      </c>
      <c r="G807" s="74" t="n">
        <v>16557</v>
      </c>
      <c r="H807" s="75" t="s">
        <v>2075</v>
      </c>
      <c r="I807" s="73" t="s">
        <v>152</v>
      </c>
    </row>
    <row r="808" customFormat="false" ht="15" hidden="false" customHeight="false" outlineLevel="0" collapsed="false">
      <c r="A808" s="72" t="n">
        <v>804</v>
      </c>
      <c r="B808" s="72" t="s">
        <v>2076</v>
      </c>
      <c r="C808" s="72" t="s">
        <v>234</v>
      </c>
      <c r="D808" s="72" t="s">
        <v>2015</v>
      </c>
      <c r="E808" s="73" t="s">
        <v>617</v>
      </c>
      <c r="F808" s="72" t="s">
        <v>2016</v>
      </c>
      <c r="G808" s="74" t="n">
        <v>6370</v>
      </c>
      <c r="H808" s="75" t="s">
        <v>2077</v>
      </c>
      <c r="I808" s="73" t="s">
        <v>152</v>
      </c>
    </row>
    <row r="809" customFormat="false" ht="15" hidden="false" customHeight="false" outlineLevel="0" collapsed="false">
      <c r="A809" s="72" t="n">
        <v>805</v>
      </c>
      <c r="B809" s="72" t="s">
        <v>2078</v>
      </c>
      <c r="C809" s="72" t="s">
        <v>234</v>
      </c>
      <c r="D809" s="72" t="s">
        <v>2015</v>
      </c>
      <c r="E809" s="73" t="s">
        <v>617</v>
      </c>
      <c r="F809" s="72" t="s">
        <v>2016</v>
      </c>
      <c r="G809" s="74" t="n">
        <v>3667</v>
      </c>
      <c r="H809" s="75" t="s">
        <v>2079</v>
      </c>
      <c r="I809" s="73" t="s">
        <v>152</v>
      </c>
    </row>
    <row r="810" customFormat="false" ht="15" hidden="false" customHeight="false" outlineLevel="0" collapsed="false">
      <c r="A810" s="72" t="n">
        <v>806</v>
      </c>
      <c r="B810" s="72" t="s">
        <v>2080</v>
      </c>
      <c r="C810" s="72" t="s">
        <v>234</v>
      </c>
      <c r="D810" s="72" t="s">
        <v>2015</v>
      </c>
      <c r="E810" s="73" t="s">
        <v>737</v>
      </c>
      <c r="F810" s="72" t="s">
        <v>2016</v>
      </c>
      <c r="G810" s="74" t="n">
        <v>9239</v>
      </c>
      <c r="H810" s="75" t="s">
        <v>2081</v>
      </c>
      <c r="I810" s="73" t="s">
        <v>152</v>
      </c>
    </row>
    <row r="811" customFormat="false" ht="15" hidden="false" customHeight="false" outlineLevel="0" collapsed="false">
      <c r="A811" s="72" t="n">
        <v>807</v>
      </c>
      <c r="B811" s="72" t="s">
        <v>2082</v>
      </c>
      <c r="C811" s="72" t="s">
        <v>234</v>
      </c>
      <c r="D811" s="72" t="s">
        <v>2015</v>
      </c>
      <c r="E811" s="73" t="s">
        <v>737</v>
      </c>
      <c r="F811" s="72" t="s">
        <v>2016</v>
      </c>
      <c r="G811" s="74" t="n">
        <v>22738</v>
      </c>
      <c r="H811" s="75" t="s">
        <v>2083</v>
      </c>
      <c r="I811" s="73" t="s">
        <v>152</v>
      </c>
    </row>
    <row r="812" customFormat="false" ht="15" hidden="false" customHeight="false" outlineLevel="0" collapsed="false">
      <c r="A812" s="72" t="n">
        <v>808</v>
      </c>
      <c r="B812" s="72" t="s">
        <v>2084</v>
      </c>
      <c r="C812" s="72" t="s">
        <v>234</v>
      </c>
      <c r="D812" s="72" t="s">
        <v>2015</v>
      </c>
      <c r="E812" s="73" t="s">
        <v>737</v>
      </c>
      <c r="F812" s="72" t="s">
        <v>2016</v>
      </c>
      <c r="G812" s="74" t="n">
        <v>10230</v>
      </c>
      <c r="H812" s="75" t="s">
        <v>2085</v>
      </c>
      <c r="I812" s="73" t="s">
        <v>152</v>
      </c>
    </row>
    <row r="813" customFormat="false" ht="15" hidden="false" customHeight="false" outlineLevel="0" collapsed="false">
      <c r="A813" s="72" t="n">
        <v>809</v>
      </c>
      <c r="B813" s="72" t="s">
        <v>2086</v>
      </c>
      <c r="C813" s="72" t="s">
        <v>234</v>
      </c>
      <c r="D813" s="72" t="s">
        <v>2015</v>
      </c>
      <c r="E813" s="73" t="s">
        <v>617</v>
      </c>
      <c r="F813" s="72" t="s">
        <v>2016</v>
      </c>
      <c r="G813" s="74" t="n">
        <v>7633</v>
      </c>
      <c r="H813" s="75" t="s">
        <v>2087</v>
      </c>
      <c r="I813" s="73" t="s">
        <v>152</v>
      </c>
    </row>
    <row r="814" customFormat="false" ht="15" hidden="false" customHeight="false" outlineLevel="0" collapsed="false">
      <c r="A814" s="72" t="n">
        <v>810</v>
      </c>
      <c r="B814" s="72" t="s">
        <v>2088</v>
      </c>
      <c r="C814" s="72" t="s">
        <v>234</v>
      </c>
      <c r="D814" s="72" t="s">
        <v>2015</v>
      </c>
      <c r="E814" s="73" t="s">
        <v>737</v>
      </c>
      <c r="F814" s="72" t="s">
        <v>2016</v>
      </c>
      <c r="G814" s="74" t="n">
        <v>5589</v>
      </c>
      <c r="H814" s="75" t="s">
        <v>2089</v>
      </c>
      <c r="I814" s="73" t="s">
        <v>152</v>
      </c>
    </row>
    <row r="815" customFormat="false" ht="15" hidden="false" customHeight="false" outlineLevel="0" collapsed="false">
      <c r="A815" s="72" t="n">
        <v>811</v>
      </c>
      <c r="B815" s="72" t="s">
        <v>2090</v>
      </c>
      <c r="C815" s="72" t="s">
        <v>234</v>
      </c>
      <c r="D815" s="72" t="s">
        <v>2015</v>
      </c>
      <c r="E815" s="73" t="s">
        <v>737</v>
      </c>
      <c r="F815" s="72" t="s">
        <v>2016</v>
      </c>
      <c r="G815" s="74" t="n">
        <v>9711</v>
      </c>
      <c r="H815" s="75" t="s">
        <v>2091</v>
      </c>
      <c r="I815" s="73" t="s">
        <v>152</v>
      </c>
    </row>
    <row r="816" customFormat="false" ht="15" hidden="false" customHeight="false" outlineLevel="0" collapsed="false">
      <c r="A816" s="72" t="n">
        <v>812</v>
      </c>
      <c r="B816" s="72" t="s">
        <v>2092</v>
      </c>
      <c r="C816" s="72" t="s">
        <v>234</v>
      </c>
      <c r="D816" s="72" t="s">
        <v>2015</v>
      </c>
      <c r="E816" s="73" t="s">
        <v>617</v>
      </c>
      <c r="F816" s="72" t="s">
        <v>2016</v>
      </c>
      <c r="G816" s="74" t="n">
        <v>1168</v>
      </c>
      <c r="H816" s="75" t="s">
        <v>2093</v>
      </c>
      <c r="I816" s="73" t="s">
        <v>152</v>
      </c>
    </row>
    <row r="817" customFormat="false" ht="15" hidden="false" customHeight="false" outlineLevel="0" collapsed="false">
      <c r="A817" s="72" t="n">
        <v>813</v>
      </c>
      <c r="B817" s="72" t="s">
        <v>2094</v>
      </c>
      <c r="C817" s="72" t="s">
        <v>234</v>
      </c>
      <c r="D817" s="72" t="s">
        <v>2015</v>
      </c>
      <c r="E817" s="73" t="s">
        <v>617</v>
      </c>
      <c r="F817" s="72" t="s">
        <v>2016</v>
      </c>
      <c r="G817" s="74" t="n">
        <v>13678</v>
      </c>
      <c r="H817" s="75" t="s">
        <v>2095</v>
      </c>
      <c r="I817" s="73" t="s">
        <v>152</v>
      </c>
    </row>
    <row r="818" customFormat="false" ht="15" hidden="false" customHeight="false" outlineLevel="0" collapsed="false">
      <c r="A818" s="72" t="n">
        <v>814</v>
      </c>
      <c r="B818" s="72" t="s">
        <v>2096</v>
      </c>
      <c r="C818" s="72" t="s">
        <v>234</v>
      </c>
      <c r="D818" s="72" t="s">
        <v>2015</v>
      </c>
      <c r="E818" s="73" t="s">
        <v>737</v>
      </c>
      <c r="F818" s="72" t="s">
        <v>2016</v>
      </c>
      <c r="G818" s="74" t="n">
        <v>49042</v>
      </c>
      <c r="H818" s="75" t="s">
        <v>2097</v>
      </c>
      <c r="I818" s="73" t="s">
        <v>152</v>
      </c>
    </row>
    <row r="819" customFormat="false" ht="15" hidden="false" customHeight="false" outlineLevel="0" collapsed="false">
      <c r="A819" s="72" t="n">
        <v>815</v>
      </c>
      <c r="B819" s="72" t="s">
        <v>2098</v>
      </c>
      <c r="C819" s="72" t="s">
        <v>234</v>
      </c>
      <c r="D819" s="72" t="s">
        <v>2015</v>
      </c>
      <c r="E819" s="73" t="s">
        <v>737</v>
      </c>
      <c r="F819" s="72" t="s">
        <v>2016</v>
      </c>
      <c r="G819" s="74" t="n">
        <v>28296</v>
      </c>
      <c r="H819" s="75" t="s">
        <v>2099</v>
      </c>
      <c r="I819" s="73" t="s">
        <v>152</v>
      </c>
    </row>
    <row r="820" customFormat="false" ht="15" hidden="false" customHeight="false" outlineLevel="0" collapsed="false">
      <c r="A820" s="72" t="n">
        <v>816</v>
      </c>
      <c r="B820" s="72" t="s">
        <v>2100</v>
      </c>
      <c r="C820" s="72" t="s">
        <v>234</v>
      </c>
      <c r="D820" s="72" t="s">
        <v>2015</v>
      </c>
      <c r="E820" s="73" t="s">
        <v>737</v>
      </c>
      <c r="F820" s="72" t="s">
        <v>2016</v>
      </c>
      <c r="G820" s="74" t="n">
        <v>9712</v>
      </c>
      <c r="H820" s="75" t="s">
        <v>2101</v>
      </c>
      <c r="I820" s="73" t="s">
        <v>152</v>
      </c>
    </row>
    <row r="821" customFormat="false" ht="15" hidden="false" customHeight="false" outlineLevel="0" collapsed="false">
      <c r="A821" s="72" t="n">
        <v>817</v>
      </c>
      <c r="B821" s="72" t="s">
        <v>2102</v>
      </c>
      <c r="C821" s="72" t="s">
        <v>234</v>
      </c>
      <c r="D821" s="72" t="s">
        <v>2015</v>
      </c>
      <c r="E821" s="73" t="s">
        <v>737</v>
      </c>
      <c r="F821" s="72" t="s">
        <v>2016</v>
      </c>
      <c r="G821" s="74" t="n">
        <v>60035</v>
      </c>
      <c r="H821" s="75" t="s">
        <v>2103</v>
      </c>
      <c r="I821" s="73" t="s">
        <v>152</v>
      </c>
    </row>
    <row r="822" customFormat="false" ht="15" hidden="false" customHeight="false" outlineLevel="0" collapsed="false">
      <c r="A822" s="72" t="n">
        <v>818</v>
      </c>
      <c r="B822" s="72" t="s">
        <v>2104</v>
      </c>
      <c r="C822" s="72" t="s">
        <v>234</v>
      </c>
      <c r="D822" s="72" t="s">
        <v>2015</v>
      </c>
      <c r="E822" s="73" t="s">
        <v>737</v>
      </c>
      <c r="F822" s="72" t="s">
        <v>2016</v>
      </c>
      <c r="G822" s="74" t="n">
        <v>23508</v>
      </c>
      <c r="H822" s="75" t="s">
        <v>2105</v>
      </c>
      <c r="I822" s="73" t="s">
        <v>152</v>
      </c>
    </row>
    <row r="823" customFormat="false" ht="15" hidden="false" customHeight="false" outlineLevel="0" collapsed="false">
      <c r="A823" s="72" t="n">
        <v>819</v>
      </c>
      <c r="B823" s="72" t="s">
        <v>2106</v>
      </c>
      <c r="C823" s="72" t="s">
        <v>234</v>
      </c>
      <c r="D823" s="72" t="s">
        <v>2015</v>
      </c>
      <c r="E823" s="73" t="s">
        <v>737</v>
      </c>
      <c r="F823" s="72" t="s">
        <v>2016</v>
      </c>
      <c r="G823" s="74" t="n">
        <v>15363</v>
      </c>
      <c r="H823" s="75" t="s">
        <v>2107</v>
      </c>
      <c r="I823" s="73" t="s">
        <v>152</v>
      </c>
    </row>
    <row r="824" customFormat="false" ht="15" hidden="false" customHeight="false" outlineLevel="0" collapsed="false">
      <c r="A824" s="72" t="n">
        <v>820</v>
      </c>
      <c r="B824" s="72" t="s">
        <v>2108</v>
      </c>
      <c r="C824" s="72" t="s">
        <v>234</v>
      </c>
      <c r="D824" s="72" t="s">
        <v>2015</v>
      </c>
      <c r="E824" s="73" t="s">
        <v>617</v>
      </c>
      <c r="F824" s="72" t="s">
        <v>2016</v>
      </c>
      <c r="G824" s="74" t="n">
        <v>590</v>
      </c>
      <c r="H824" s="75" t="s">
        <v>2109</v>
      </c>
      <c r="I824" s="73" t="s">
        <v>152</v>
      </c>
    </row>
    <row r="825" customFormat="false" ht="15" hidden="false" customHeight="false" outlineLevel="0" collapsed="false">
      <c r="A825" s="72" t="n">
        <v>821</v>
      </c>
      <c r="B825" s="72" t="s">
        <v>2110</v>
      </c>
      <c r="C825" s="72" t="s">
        <v>234</v>
      </c>
      <c r="D825" s="72" t="s">
        <v>2015</v>
      </c>
      <c r="E825" s="73" t="s">
        <v>737</v>
      </c>
      <c r="F825" s="72" t="s">
        <v>2016</v>
      </c>
      <c r="G825" s="74" t="n">
        <v>38082</v>
      </c>
      <c r="H825" s="75" t="s">
        <v>2111</v>
      </c>
      <c r="I825" s="73" t="s">
        <v>152</v>
      </c>
    </row>
    <row r="826" customFormat="false" ht="15" hidden="false" customHeight="false" outlineLevel="0" collapsed="false">
      <c r="A826" s="72" t="n">
        <v>822</v>
      </c>
      <c r="B826" s="72" t="s">
        <v>2112</v>
      </c>
      <c r="C826" s="72" t="s">
        <v>234</v>
      </c>
      <c r="D826" s="72" t="s">
        <v>2015</v>
      </c>
      <c r="E826" s="73" t="s">
        <v>617</v>
      </c>
      <c r="F826" s="72" t="s">
        <v>2016</v>
      </c>
      <c r="G826" s="74" t="n">
        <v>2403</v>
      </c>
      <c r="H826" s="75" t="s">
        <v>2113</v>
      </c>
      <c r="I826" s="73" t="s">
        <v>152</v>
      </c>
    </row>
    <row r="827" customFormat="false" ht="15" hidden="false" customHeight="false" outlineLevel="0" collapsed="false">
      <c r="A827" s="72" t="n">
        <v>823</v>
      </c>
      <c r="B827" s="72" t="s">
        <v>2114</v>
      </c>
      <c r="C827" s="72" t="s">
        <v>234</v>
      </c>
      <c r="D827" s="72" t="s">
        <v>2015</v>
      </c>
      <c r="E827" s="73" t="s">
        <v>737</v>
      </c>
      <c r="F827" s="72" t="s">
        <v>2016</v>
      </c>
      <c r="G827" s="74" t="n">
        <v>19714</v>
      </c>
      <c r="H827" s="75" t="s">
        <v>2115</v>
      </c>
      <c r="I827" s="73" t="s">
        <v>152</v>
      </c>
    </row>
    <row r="828" customFormat="false" ht="15" hidden="false" customHeight="false" outlineLevel="0" collapsed="false">
      <c r="A828" s="72" t="n">
        <v>824</v>
      </c>
      <c r="B828" s="72" t="s">
        <v>2116</v>
      </c>
      <c r="C828" s="72" t="s">
        <v>234</v>
      </c>
      <c r="D828" s="72" t="s">
        <v>2015</v>
      </c>
      <c r="E828" s="73" t="s">
        <v>737</v>
      </c>
      <c r="F828" s="72" t="s">
        <v>2016</v>
      </c>
      <c r="G828" s="74" t="n">
        <v>16070</v>
      </c>
      <c r="H828" s="75" t="s">
        <v>2117</v>
      </c>
      <c r="I828" s="73" t="s">
        <v>152</v>
      </c>
    </row>
    <row r="829" customFormat="false" ht="15" hidden="false" customHeight="false" outlineLevel="0" collapsed="false">
      <c r="A829" s="72" t="n">
        <v>825</v>
      </c>
      <c r="B829" s="72" t="s">
        <v>2118</v>
      </c>
      <c r="C829" s="72" t="s">
        <v>234</v>
      </c>
      <c r="D829" s="72" t="s">
        <v>2015</v>
      </c>
      <c r="E829" s="73" t="s">
        <v>737</v>
      </c>
      <c r="F829" s="72" t="s">
        <v>2016</v>
      </c>
      <c r="G829" s="74" t="n">
        <v>7412</v>
      </c>
      <c r="H829" s="75" t="s">
        <v>2119</v>
      </c>
      <c r="I829" s="73" t="s">
        <v>152</v>
      </c>
    </row>
    <row r="830" customFormat="false" ht="15" hidden="false" customHeight="false" outlineLevel="0" collapsed="false">
      <c r="A830" s="72" t="n">
        <v>826</v>
      </c>
      <c r="B830" s="72" t="s">
        <v>2120</v>
      </c>
      <c r="C830" s="72" t="s">
        <v>234</v>
      </c>
      <c r="D830" s="72" t="s">
        <v>2015</v>
      </c>
      <c r="E830" s="73" t="s">
        <v>617</v>
      </c>
      <c r="F830" s="72" t="s">
        <v>2016</v>
      </c>
      <c r="G830" s="74" t="n">
        <v>8451</v>
      </c>
      <c r="H830" s="75" t="s">
        <v>2121</v>
      </c>
      <c r="I830" s="73" t="s">
        <v>152</v>
      </c>
    </row>
    <row r="831" customFormat="false" ht="15" hidden="false" customHeight="false" outlineLevel="0" collapsed="false">
      <c r="A831" s="72" t="n">
        <v>827</v>
      </c>
      <c r="B831" s="72" t="s">
        <v>2122</v>
      </c>
      <c r="C831" s="72" t="s">
        <v>234</v>
      </c>
      <c r="D831" s="72" t="s">
        <v>2015</v>
      </c>
      <c r="E831" s="73" t="s">
        <v>617</v>
      </c>
      <c r="F831" s="72" t="s">
        <v>2016</v>
      </c>
      <c r="G831" s="74" t="n">
        <v>11759</v>
      </c>
      <c r="H831" s="75" t="s">
        <v>2123</v>
      </c>
      <c r="I831" s="73" t="s">
        <v>152</v>
      </c>
    </row>
    <row r="832" customFormat="false" ht="15" hidden="false" customHeight="false" outlineLevel="0" collapsed="false">
      <c r="A832" s="72" t="n">
        <v>828</v>
      </c>
      <c r="B832" s="72" t="s">
        <v>2124</v>
      </c>
      <c r="C832" s="72" t="s">
        <v>234</v>
      </c>
      <c r="D832" s="72" t="s">
        <v>2015</v>
      </c>
      <c r="E832" s="73" t="s">
        <v>617</v>
      </c>
      <c r="F832" s="72" t="s">
        <v>2016</v>
      </c>
      <c r="G832" s="74" t="n">
        <v>4334</v>
      </c>
      <c r="H832" s="75" t="s">
        <v>2125</v>
      </c>
      <c r="I832" s="73" t="s">
        <v>152</v>
      </c>
    </row>
    <row r="833" customFormat="false" ht="15" hidden="false" customHeight="false" outlineLevel="0" collapsed="false">
      <c r="A833" s="72" t="n">
        <v>829</v>
      </c>
      <c r="B833" s="72" t="s">
        <v>2126</v>
      </c>
      <c r="C833" s="72" t="s">
        <v>234</v>
      </c>
      <c r="D833" s="72" t="s">
        <v>2015</v>
      </c>
      <c r="E833" s="73" t="s">
        <v>737</v>
      </c>
      <c r="F833" s="72" t="s">
        <v>2016</v>
      </c>
      <c r="G833" s="74" t="n">
        <v>6022</v>
      </c>
      <c r="H833" s="75" t="s">
        <v>2127</v>
      </c>
      <c r="I833" s="73" t="s">
        <v>152</v>
      </c>
    </row>
    <row r="834" customFormat="false" ht="15" hidden="false" customHeight="false" outlineLevel="0" collapsed="false">
      <c r="A834" s="72" t="n">
        <v>830</v>
      </c>
      <c r="B834" s="72" t="s">
        <v>2128</v>
      </c>
      <c r="C834" s="72" t="s">
        <v>234</v>
      </c>
      <c r="D834" s="72" t="s">
        <v>2015</v>
      </c>
      <c r="E834" s="73" t="s">
        <v>617</v>
      </c>
      <c r="F834" s="72" t="s">
        <v>2016</v>
      </c>
      <c r="G834" s="74" t="n">
        <v>2893</v>
      </c>
      <c r="H834" s="75" t="s">
        <v>2129</v>
      </c>
      <c r="I834" s="73" t="s">
        <v>152</v>
      </c>
    </row>
    <row r="835" customFormat="false" ht="15" hidden="false" customHeight="false" outlineLevel="0" collapsed="false">
      <c r="A835" s="72" t="n">
        <v>831</v>
      </c>
      <c r="B835" s="72" t="s">
        <v>2130</v>
      </c>
      <c r="C835" s="72" t="s">
        <v>234</v>
      </c>
      <c r="D835" s="72" t="s">
        <v>2015</v>
      </c>
      <c r="E835" s="73" t="s">
        <v>737</v>
      </c>
      <c r="F835" s="72" t="s">
        <v>2016</v>
      </c>
      <c r="G835" s="74" t="n">
        <v>9233</v>
      </c>
      <c r="H835" s="75" t="s">
        <v>2131</v>
      </c>
      <c r="I835" s="73" t="s">
        <v>152</v>
      </c>
    </row>
    <row r="836" customFormat="false" ht="15" hidden="false" customHeight="false" outlineLevel="0" collapsed="false">
      <c r="A836" s="72" t="n">
        <v>832</v>
      </c>
      <c r="B836" s="72" t="s">
        <v>2132</v>
      </c>
      <c r="C836" s="72" t="s">
        <v>234</v>
      </c>
      <c r="D836" s="72" t="s">
        <v>2015</v>
      </c>
      <c r="E836" s="73" t="s">
        <v>737</v>
      </c>
      <c r="F836" s="72" t="s">
        <v>2016</v>
      </c>
      <c r="G836" s="74" t="n">
        <v>33617</v>
      </c>
      <c r="H836" s="75" t="s">
        <v>2133</v>
      </c>
      <c r="I836" s="73" t="s">
        <v>152</v>
      </c>
    </row>
    <row r="837" customFormat="false" ht="15" hidden="false" customHeight="false" outlineLevel="0" collapsed="false">
      <c r="A837" s="72" t="n">
        <v>833</v>
      </c>
      <c r="B837" s="72" t="s">
        <v>2134</v>
      </c>
      <c r="C837" s="72" t="s">
        <v>234</v>
      </c>
      <c r="D837" s="72" t="s">
        <v>2015</v>
      </c>
      <c r="E837" s="73" t="s">
        <v>1112</v>
      </c>
      <c r="F837" s="72" t="s">
        <v>1113</v>
      </c>
      <c r="G837" s="74" t="n">
        <v>3876</v>
      </c>
      <c r="H837" s="75" t="s">
        <v>2135</v>
      </c>
      <c r="I837" s="73" t="s">
        <v>152</v>
      </c>
    </row>
    <row r="838" customFormat="false" ht="15" hidden="false" customHeight="false" outlineLevel="0" collapsed="false">
      <c r="A838" s="72" t="n">
        <v>834</v>
      </c>
      <c r="B838" s="72" t="s">
        <v>2136</v>
      </c>
      <c r="C838" s="72" t="s">
        <v>234</v>
      </c>
      <c r="D838" s="72" t="s">
        <v>2015</v>
      </c>
      <c r="E838" s="73" t="s">
        <v>737</v>
      </c>
      <c r="F838" s="72" t="s">
        <v>2016</v>
      </c>
      <c r="G838" s="74" t="n">
        <v>68723</v>
      </c>
      <c r="H838" s="75" t="s">
        <v>2137</v>
      </c>
      <c r="I838" s="73" t="s">
        <v>152</v>
      </c>
    </row>
    <row r="839" customFormat="false" ht="15" hidden="false" customHeight="false" outlineLevel="0" collapsed="false">
      <c r="A839" s="72" t="n">
        <v>835</v>
      </c>
      <c r="B839" s="72" t="s">
        <v>2138</v>
      </c>
      <c r="C839" s="72" t="s">
        <v>234</v>
      </c>
      <c r="D839" s="72" t="s">
        <v>2015</v>
      </c>
      <c r="E839" s="73" t="s">
        <v>617</v>
      </c>
      <c r="F839" s="72" t="s">
        <v>2016</v>
      </c>
      <c r="G839" s="74" t="n">
        <v>7862</v>
      </c>
      <c r="H839" s="75" t="s">
        <v>2139</v>
      </c>
      <c r="I839" s="73" t="s">
        <v>152</v>
      </c>
    </row>
    <row r="840" customFormat="false" ht="15" hidden="false" customHeight="false" outlineLevel="0" collapsed="false">
      <c r="A840" s="72" t="n">
        <v>836</v>
      </c>
      <c r="B840" s="72" t="s">
        <v>2140</v>
      </c>
      <c r="C840" s="72" t="s">
        <v>234</v>
      </c>
      <c r="D840" s="72" t="s">
        <v>2015</v>
      </c>
      <c r="E840" s="73" t="s">
        <v>737</v>
      </c>
      <c r="F840" s="72" t="s">
        <v>2016</v>
      </c>
      <c r="G840" s="74" t="n">
        <v>13254</v>
      </c>
      <c r="H840" s="75" t="s">
        <v>2141</v>
      </c>
      <c r="I840" s="73" t="s">
        <v>152</v>
      </c>
    </row>
    <row r="841" customFormat="false" ht="15" hidden="false" customHeight="false" outlineLevel="0" collapsed="false">
      <c r="A841" s="72" t="n">
        <v>837</v>
      </c>
      <c r="B841" s="72" t="s">
        <v>2142</v>
      </c>
      <c r="C841" s="72" t="s">
        <v>234</v>
      </c>
      <c r="D841" s="72" t="s">
        <v>2015</v>
      </c>
      <c r="E841" s="73" t="s">
        <v>617</v>
      </c>
      <c r="F841" s="72" t="s">
        <v>2016</v>
      </c>
      <c r="G841" s="74" t="n">
        <v>8195</v>
      </c>
      <c r="H841" s="75" t="s">
        <v>2143</v>
      </c>
      <c r="I841" s="73" t="s">
        <v>152</v>
      </c>
    </row>
    <row r="842" customFormat="false" ht="15" hidden="false" customHeight="false" outlineLevel="0" collapsed="false">
      <c r="A842" s="72" t="n">
        <v>838</v>
      </c>
      <c r="B842" s="72" t="s">
        <v>2144</v>
      </c>
      <c r="C842" s="72" t="s">
        <v>234</v>
      </c>
      <c r="D842" s="72" t="s">
        <v>2015</v>
      </c>
      <c r="E842" s="73" t="s">
        <v>617</v>
      </c>
      <c r="F842" s="72" t="s">
        <v>2016</v>
      </c>
      <c r="G842" s="74" t="n">
        <v>5580</v>
      </c>
      <c r="H842" s="75" t="s">
        <v>2145</v>
      </c>
      <c r="I842" s="73" t="s">
        <v>152</v>
      </c>
    </row>
    <row r="843" customFormat="false" ht="15" hidden="false" customHeight="false" outlineLevel="0" collapsed="false">
      <c r="A843" s="72" t="n">
        <v>839</v>
      </c>
      <c r="B843" s="72" t="s">
        <v>2146</v>
      </c>
      <c r="C843" s="72" t="s">
        <v>234</v>
      </c>
      <c r="D843" s="72" t="s">
        <v>2015</v>
      </c>
      <c r="E843" s="73" t="s">
        <v>737</v>
      </c>
      <c r="F843" s="72" t="s">
        <v>2016</v>
      </c>
      <c r="G843" s="74" t="n">
        <v>7581</v>
      </c>
      <c r="H843" s="75" t="s">
        <v>2147</v>
      </c>
      <c r="I843" s="73" t="s">
        <v>152</v>
      </c>
    </row>
    <row r="844" customFormat="false" ht="15" hidden="false" customHeight="false" outlineLevel="0" collapsed="false">
      <c r="A844" s="72" t="n">
        <v>840</v>
      </c>
      <c r="B844" s="72" t="s">
        <v>2148</v>
      </c>
      <c r="C844" s="72" t="s">
        <v>234</v>
      </c>
      <c r="D844" s="72" t="s">
        <v>2015</v>
      </c>
      <c r="E844" s="73" t="s">
        <v>737</v>
      </c>
      <c r="F844" s="72" t="s">
        <v>2016</v>
      </c>
      <c r="G844" s="74" t="n">
        <v>28294</v>
      </c>
      <c r="H844" s="75" t="s">
        <v>2149</v>
      </c>
      <c r="I844" s="73" t="s">
        <v>152</v>
      </c>
    </row>
    <row r="845" customFormat="false" ht="15" hidden="false" customHeight="false" outlineLevel="0" collapsed="false">
      <c r="A845" s="72" t="n">
        <v>841</v>
      </c>
      <c r="B845" s="72" t="s">
        <v>2150</v>
      </c>
      <c r="C845" s="72" t="s">
        <v>234</v>
      </c>
      <c r="D845" s="72" t="s">
        <v>2015</v>
      </c>
      <c r="E845" s="73" t="s">
        <v>737</v>
      </c>
      <c r="F845" s="72" t="s">
        <v>2016</v>
      </c>
      <c r="G845" s="74" t="n">
        <v>30619</v>
      </c>
      <c r="H845" s="75" t="s">
        <v>2151</v>
      </c>
      <c r="I845" s="73" t="s">
        <v>152</v>
      </c>
    </row>
    <row r="846" customFormat="false" ht="15" hidden="false" customHeight="false" outlineLevel="0" collapsed="false">
      <c r="A846" s="72" t="n">
        <v>842</v>
      </c>
      <c r="B846" s="72" t="s">
        <v>2152</v>
      </c>
      <c r="C846" s="72" t="s">
        <v>234</v>
      </c>
      <c r="D846" s="72" t="s">
        <v>2015</v>
      </c>
      <c r="E846" s="73" t="s">
        <v>737</v>
      </c>
      <c r="F846" s="72" t="s">
        <v>2016</v>
      </c>
      <c r="G846" s="74" t="n">
        <v>5164</v>
      </c>
      <c r="H846" s="75" t="s">
        <v>2153</v>
      </c>
      <c r="I846" s="73" t="s">
        <v>152</v>
      </c>
    </row>
    <row r="847" customFormat="false" ht="15" hidden="false" customHeight="false" outlineLevel="0" collapsed="false">
      <c r="A847" s="72" t="n">
        <v>843</v>
      </c>
      <c r="B847" s="72" t="s">
        <v>2154</v>
      </c>
      <c r="C847" s="72" t="s">
        <v>234</v>
      </c>
      <c r="D847" s="72" t="s">
        <v>2015</v>
      </c>
      <c r="E847" s="73" t="s">
        <v>617</v>
      </c>
      <c r="F847" s="72" t="s">
        <v>2016</v>
      </c>
      <c r="G847" s="74" t="n">
        <v>512</v>
      </c>
      <c r="H847" s="75" t="s">
        <v>2155</v>
      </c>
      <c r="I847" s="73" t="s">
        <v>152</v>
      </c>
    </row>
    <row r="848" customFormat="false" ht="15" hidden="false" customHeight="false" outlineLevel="0" collapsed="false">
      <c r="A848" s="72" t="n">
        <v>844</v>
      </c>
      <c r="B848" s="72" t="s">
        <v>2156</v>
      </c>
      <c r="C848" s="72" t="s">
        <v>234</v>
      </c>
      <c r="D848" s="72" t="s">
        <v>2015</v>
      </c>
      <c r="E848" s="73" t="s">
        <v>617</v>
      </c>
      <c r="F848" s="72" t="s">
        <v>2016</v>
      </c>
      <c r="G848" s="74" t="n">
        <v>345</v>
      </c>
      <c r="H848" s="75" t="s">
        <v>2157</v>
      </c>
      <c r="I848" s="73" t="s">
        <v>152</v>
      </c>
    </row>
    <row r="849" customFormat="false" ht="15" hidden="false" customHeight="false" outlineLevel="0" collapsed="false">
      <c r="A849" s="72" t="n">
        <v>845</v>
      </c>
      <c r="B849" s="72" t="s">
        <v>2158</v>
      </c>
      <c r="C849" s="72" t="s">
        <v>234</v>
      </c>
      <c r="D849" s="72" t="s">
        <v>2015</v>
      </c>
      <c r="E849" s="73" t="s">
        <v>617</v>
      </c>
      <c r="F849" s="72" t="s">
        <v>2016</v>
      </c>
      <c r="G849" s="74" t="n">
        <v>364</v>
      </c>
      <c r="H849" s="75" t="s">
        <v>2159</v>
      </c>
      <c r="I849" s="73" t="s">
        <v>152</v>
      </c>
    </row>
    <row r="850" customFormat="false" ht="15" hidden="false" customHeight="false" outlineLevel="0" collapsed="false">
      <c r="A850" s="72" t="n">
        <v>846</v>
      </c>
      <c r="B850" s="72" t="s">
        <v>2160</v>
      </c>
      <c r="C850" s="72" t="s">
        <v>234</v>
      </c>
      <c r="D850" s="72" t="s">
        <v>2015</v>
      </c>
      <c r="E850" s="73" t="s">
        <v>617</v>
      </c>
      <c r="F850" s="72" t="s">
        <v>2016</v>
      </c>
      <c r="G850" s="74" t="n">
        <v>221</v>
      </c>
      <c r="H850" s="75" t="s">
        <v>2161</v>
      </c>
      <c r="I850" s="73" t="s">
        <v>152</v>
      </c>
    </row>
    <row r="851" customFormat="false" ht="15" hidden="false" customHeight="false" outlineLevel="0" collapsed="false">
      <c r="A851" s="72" t="n">
        <v>847</v>
      </c>
      <c r="B851" s="72" t="s">
        <v>2162</v>
      </c>
      <c r="C851" s="72" t="s">
        <v>234</v>
      </c>
      <c r="D851" s="72" t="s">
        <v>2015</v>
      </c>
      <c r="E851" s="73" t="s">
        <v>617</v>
      </c>
      <c r="F851" s="72" t="s">
        <v>2016</v>
      </c>
      <c r="G851" s="74" t="n">
        <v>554</v>
      </c>
      <c r="H851" s="75" t="s">
        <v>2163</v>
      </c>
      <c r="I851" s="73" t="s">
        <v>152</v>
      </c>
    </row>
    <row r="852" customFormat="false" ht="15" hidden="false" customHeight="false" outlineLevel="0" collapsed="false">
      <c r="A852" s="72" t="n">
        <v>848</v>
      </c>
      <c r="B852" s="72" t="s">
        <v>2164</v>
      </c>
      <c r="C852" s="72" t="s">
        <v>234</v>
      </c>
      <c r="D852" s="72" t="s">
        <v>2015</v>
      </c>
      <c r="E852" s="73" t="s">
        <v>737</v>
      </c>
      <c r="F852" s="72" t="s">
        <v>2016</v>
      </c>
      <c r="G852" s="74" t="n">
        <v>5113</v>
      </c>
      <c r="H852" s="75" t="s">
        <v>2165</v>
      </c>
      <c r="I852" s="73" t="s">
        <v>152</v>
      </c>
    </row>
    <row r="853" customFormat="false" ht="15" hidden="false" customHeight="false" outlineLevel="0" collapsed="false">
      <c r="A853" s="72" t="n">
        <v>849</v>
      </c>
      <c r="B853" s="72" t="s">
        <v>2166</v>
      </c>
      <c r="C853" s="72" t="s">
        <v>234</v>
      </c>
      <c r="D853" s="72" t="s">
        <v>2015</v>
      </c>
      <c r="E853" s="73" t="s">
        <v>737</v>
      </c>
      <c r="F853" s="72" t="s">
        <v>2016</v>
      </c>
      <c r="G853" s="74" t="n">
        <v>8059</v>
      </c>
      <c r="H853" s="75" t="s">
        <v>2167</v>
      </c>
      <c r="I853" s="73" t="s">
        <v>152</v>
      </c>
    </row>
    <row r="854" customFormat="false" ht="15" hidden="false" customHeight="false" outlineLevel="0" collapsed="false">
      <c r="A854" s="72" t="n">
        <v>850</v>
      </c>
      <c r="B854" s="72" t="s">
        <v>2168</v>
      </c>
      <c r="C854" s="72" t="s">
        <v>234</v>
      </c>
      <c r="D854" s="72" t="s">
        <v>2015</v>
      </c>
      <c r="E854" s="73" t="s">
        <v>737</v>
      </c>
      <c r="F854" s="72" t="s">
        <v>2016</v>
      </c>
      <c r="G854" s="74" t="n">
        <v>6338</v>
      </c>
      <c r="H854" s="75" t="s">
        <v>2169</v>
      </c>
      <c r="I854" s="73" t="s">
        <v>152</v>
      </c>
    </row>
    <row r="855" customFormat="false" ht="15" hidden="false" customHeight="false" outlineLevel="0" collapsed="false">
      <c r="A855" s="72" t="n">
        <v>851</v>
      </c>
      <c r="B855" s="72" t="s">
        <v>2170</v>
      </c>
      <c r="C855" s="72" t="s">
        <v>234</v>
      </c>
      <c r="D855" s="72" t="s">
        <v>2015</v>
      </c>
      <c r="E855" s="73" t="s">
        <v>737</v>
      </c>
      <c r="F855" s="72" t="s">
        <v>2016</v>
      </c>
      <c r="G855" s="74" t="n">
        <v>3107</v>
      </c>
      <c r="H855" s="75" t="s">
        <v>2171</v>
      </c>
      <c r="I855" s="73" t="s">
        <v>152</v>
      </c>
    </row>
    <row r="856" customFormat="false" ht="15" hidden="false" customHeight="false" outlineLevel="0" collapsed="false">
      <c r="A856" s="72" t="n">
        <v>852</v>
      </c>
      <c r="B856" s="72" t="s">
        <v>2172</v>
      </c>
      <c r="C856" s="72" t="s">
        <v>234</v>
      </c>
      <c r="D856" s="72" t="s">
        <v>2015</v>
      </c>
      <c r="E856" s="73" t="s">
        <v>737</v>
      </c>
      <c r="F856" s="72" t="s">
        <v>2016</v>
      </c>
      <c r="G856" s="74" t="n">
        <v>1747</v>
      </c>
      <c r="H856" s="75" t="s">
        <v>2173</v>
      </c>
      <c r="I856" s="73" t="s">
        <v>152</v>
      </c>
    </row>
    <row r="857" customFormat="false" ht="15" hidden="false" customHeight="false" outlineLevel="0" collapsed="false">
      <c r="A857" s="72" t="n">
        <v>853</v>
      </c>
      <c r="B857" s="72" t="s">
        <v>2174</v>
      </c>
      <c r="C857" s="72" t="s">
        <v>234</v>
      </c>
      <c r="D857" s="72" t="s">
        <v>2015</v>
      </c>
      <c r="E857" s="73" t="s">
        <v>737</v>
      </c>
      <c r="F857" s="72" t="s">
        <v>2016</v>
      </c>
      <c r="G857" s="74" t="n">
        <v>4778</v>
      </c>
      <c r="H857" s="75" t="s">
        <v>2175</v>
      </c>
      <c r="I857" s="73" t="s">
        <v>152</v>
      </c>
    </row>
    <row r="858" customFormat="false" ht="15" hidden="false" customHeight="false" outlineLevel="0" collapsed="false">
      <c r="A858" s="72" t="n">
        <v>854</v>
      </c>
      <c r="B858" s="72" t="s">
        <v>2176</v>
      </c>
      <c r="C858" s="72" t="s">
        <v>234</v>
      </c>
      <c r="D858" s="72" t="s">
        <v>2015</v>
      </c>
      <c r="E858" s="73" t="s">
        <v>737</v>
      </c>
      <c r="F858" s="72" t="s">
        <v>2016</v>
      </c>
      <c r="G858" s="74" t="n">
        <v>15429</v>
      </c>
      <c r="H858" s="75" t="s">
        <v>2177</v>
      </c>
      <c r="I858" s="73" t="s">
        <v>152</v>
      </c>
    </row>
    <row r="859" customFormat="false" ht="15" hidden="false" customHeight="false" outlineLevel="0" collapsed="false">
      <c r="A859" s="72" t="n">
        <v>855</v>
      </c>
      <c r="B859" s="72" t="s">
        <v>2178</v>
      </c>
      <c r="C859" s="72" t="s">
        <v>234</v>
      </c>
      <c r="D859" s="72" t="s">
        <v>2015</v>
      </c>
      <c r="E859" s="73" t="s">
        <v>737</v>
      </c>
      <c r="F859" s="72" t="s">
        <v>2016</v>
      </c>
      <c r="G859" s="74" t="n">
        <v>8754</v>
      </c>
      <c r="H859" s="75" t="s">
        <v>2179</v>
      </c>
      <c r="I859" s="73" t="s">
        <v>152</v>
      </c>
    </row>
    <row r="860" customFormat="false" ht="15" hidden="false" customHeight="false" outlineLevel="0" collapsed="false">
      <c r="A860" s="72" t="n">
        <v>856</v>
      </c>
      <c r="B860" s="72" t="s">
        <v>2180</v>
      </c>
      <c r="C860" s="72" t="s">
        <v>234</v>
      </c>
      <c r="D860" s="72" t="s">
        <v>2015</v>
      </c>
      <c r="E860" s="73" t="s">
        <v>737</v>
      </c>
      <c r="F860" s="72" t="s">
        <v>2016</v>
      </c>
      <c r="G860" s="74" t="n">
        <v>8306</v>
      </c>
      <c r="H860" s="75" t="s">
        <v>2181</v>
      </c>
      <c r="I860" s="73" t="s">
        <v>152</v>
      </c>
    </row>
    <row r="861" customFormat="false" ht="15" hidden="false" customHeight="false" outlineLevel="0" collapsed="false">
      <c r="A861" s="72" t="n">
        <v>857</v>
      </c>
      <c r="B861" s="72" t="s">
        <v>2182</v>
      </c>
      <c r="C861" s="72" t="s">
        <v>234</v>
      </c>
      <c r="D861" s="72" t="s">
        <v>2015</v>
      </c>
      <c r="E861" s="73" t="s">
        <v>737</v>
      </c>
      <c r="F861" s="72" t="s">
        <v>2016</v>
      </c>
      <c r="G861" s="74" t="n">
        <v>4992</v>
      </c>
      <c r="H861" s="75" t="s">
        <v>2183</v>
      </c>
      <c r="I861" s="73" t="s">
        <v>152</v>
      </c>
    </row>
    <row r="862" customFormat="false" ht="15" hidden="false" customHeight="false" outlineLevel="0" collapsed="false">
      <c r="A862" s="72" t="n">
        <v>858</v>
      </c>
      <c r="B862" s="72" t="s">
        <v>2184</v>
      </c>
      <c r="C862" s="72" t="s">
        <v>234</v>
      </c>
      <c r="D862" s="72" t="s">
        <v>2015</v>
      </c>
      <c r="E862" s="73" t="s">
        <v>737</v>
      </c>
      <c r="F862" s="72" t="s">
        <v>2016</v>
      </c>
      <c r="G862" s="74" t="n">
        <v>28824</v>
      </c>
      <c r="H862" s="75" t="s">
        <v>2185</v>
      </c>
      <c r="I862" s="73" t="s">
        <v>152</v>
      </c>
    </row>
    <row r="863" customFormat="false" ht="15" hidden="false" customHeight="false" outlineLevel="0" collapsed="false">
      <c r="A863" s="72" t="n">
        <v>859</v>
      </c>
      <c r="B863" s="72" t="s">
        <v>2186</v>
      </c>
      <c r="C863" s="72" t="s">
        <v>234</v>
      </c>
      <c r="D863" s="72" t="s">
        <v>2015</v>
      </c>
      <c r="E863" s="73" t="s">
        <v>737</v>
      </c>
      <c r="F863" s="72" t="s">
        <v>2016</v>
      </c>
      <c r="G863" s="74" t="n">
        <v>5677</v>
      </c>
      <c r="H863" s="75" t="s">
        <v>2187</v>
      </c>
      <c r="I863" s="73" t="s">
        <v>152</v>
      </c>
    </row>
    <row r="864" customFormat="false" ht="15" hidden="false" customHeight="false" outlineLevel="0" collapsed="false">
      <c r="A864" s="72" t="n">
        <v>860</v>
      </c>
      <c r="B864" s="72" t="s">
        <v>2188</v>
      </c>
      <c r="C864" s="72" t="s">
        <v>234</v>
      </c>
      <c r="D864" s="72" t="s">
        <v>2015</v>
      </c>
      <c r="E864" s="73" t="s">
        <v>737</v>
      </c>
      <c r="F864" s="72" t="s">
        <v>2016</v>
      </c>
      <c r="G864" s="74" t="n">
        <v>6336</v>
      </c>
      <c r="H864" s="75" t="s">
        <v>2189</v>
      </c>
      <c r="I864" s="73" t="s">
        <v>152</v>
      </c>
    </row>
    <row r="865" customFormat="false" ht="15" hidden="false" customHeight="false" outlineLevel="0" collapsed="false">
      <c r="A865" s="72" t="n">
        <v>861</v>
      </c>
      <c r="B865" s="72" t="s">
        <v>2190</v>
      </c>
      <c r="C865" s="72" t="s">
        <v>234</v>
      </c>
      <c r="D865" s="72" t="s">
        <v>2015</v>
      </c>
      <c r="E865" s="73" t="s">
        <v>737</v>
      </c>
      <c r="F865" s="72" t="s">
        <v>2016</v>
      </c>
      <c r="G865" s="74" t="n">
        <v>2877</v>
      </c>
      <c r="H865" s="75" t="s">
        <v>2191</v>
      </c>
      <c r="I865" s="73" t="s">
        <v>152</v>
      </c>
    </row>
    <row r="866" customFormat="false" ht="15" hidden="false" customHeight="false" outlineLevel="0" collapsed="false">
      <c r="A866" s="72" t="n">
        <v>862</v>
      </c>
      <c r="B866" s="72" t="s">
        <v>2192</v>
      </c>
      <c r="C866" s="72" t="s">
        <v>234</v>
      </c>
      <c r="D866" s="72" t="s">
        <v>2015</v>
      </c>
      <c r="E866" s="73" t="s">
        <v>737</v>
      </c>
      <c r="F866" s="72" t="s">
        <v>2016</v>
      </c>
      <c r="G866" s="74" t="n">
        <v>26147</v>
      </c>
      <c r="H866" s="75" t="s">
        <v>2193</v>
      </c>
      <c r="I866" s="73" t="s">
        <v>152</v>
      </c>
    </row>
    <row r="867" customFormat="false" ht="15" hidden="false" customHeight="false" outlineLevel="0" collapsed="false">
      <c r="A867" s="72" t="n">
        <v>863</v>
      </c>
      <c r="B867" s="72" t="s">
        <v>2194</v>
      </c>
      <c r="C867" s="72" t="s">
        <v>234</v>
      </c>
      <c r="D867" s="72" t="s">
        <v>2015</v>
      </c>
      <c r="E867" s="73" t="s">
        <v>737</v>
      </c>
      <c r="F867" s="72" t="s">
        <v>2016</v>
      </c>
      <c r="G867" s="74" t="n">
        <v>20717</v>
      </c>
      <c r="H867" s="75" t="s">
        <v>2195</v>
      </c>
      <c r="I867" s="73" t="s">
        <v>152</v>
      </c>
    </row>
    <row r="868" customFormat="false" ht="15" hidden="false" customHeight="false" outlineLevel="0" collapsed="false">
      <c r="A868" s="72" t="n">
        <v>864</v>
      </c>
      <c r="B868" s="72" t="s">
        <v>2196</v>
      </c>
      <c r="C868" s="72" t="s">
        <v>234</v>
      </c>
      <c r="D868" s="72" t="s">
        <v>2015</v>
      </c>
      <c r="E868" s="73" t="s">
        <v>737</v>
      </c>
      <c r="F868" s="72" t="s">
        <v>2016</v>
      </c>
      <c r="G868" s="74" t="n">
        <v>8511</v>
      </c>
      <c r="H868" s="75" t="s">
        <v>2197</v>
      </c>
      <c r="I868" s="73" t="s">
        <v>152</v>
      </c>
    </row>
    <row r="869" customFormat="false" ht="15" hidden="false" customHeight="false" outlineLevel="0" collapsed="false">
      <c r="A869" s="72" t="n">
        <v>865</v>
      </c>
      <c r="B869" s="72" t="s">
        <v>2198</v>
      </c>
      <c r="C869" s="72" t="s">
        <v>234</v>
      </c>
      <c r="D869" s="72" t="s">
        <v>2015</v>
      </c>
      <c r="E869" s="73" t="s">
        <v>737</v>
      </c>
      <c r="F869" s="72" t="s">
        <v>2016</v>
      </c>
      <c r="G869" s="74" t="n">
        <v>48914</v>
      </c>
      <c r="H869" s="75" t="s">
        <v>2199</v>
      </c>
      <c r="I869" s="73" t="s">
        <v>152</v>
      </c>
    </row>
    <row r="870" customFormat="false" ht="15" hidden="false" customHeight="false" outlineLevel="0" collapsed="false">
      <c r="A870" s="72" t="n">
        <v>866</v>
      </c>
      <c r="B870" s="72" t="s">
        <v>2200</v>
      </c>
      <c r="C870" s="72" t="s">
        <v>234</v>
      </c>
      <c r="D870" s="72" t="s">
        <v>2015</v>
      </c>
      <c r="E870" s="73" t="s">
        <v>737</v>
      </c>
      <c r="F870" s="72" t="s">
        <v>2016</v>
      </c>
      <c r="G870" s="74" t="n">
        <v>2711</v>
      </c>
      <c r="H870" s="75" t="s">
        <v>2201</v>
      </c>
      <c r="I870" s="73" t="s">
        <v>152</v>
      </c>
    </row>
    <row r="871" customFormat="false" ht="15" hidden="false" customHeight="false" outlineLevel="0" collapsed="false">
      <c r="A871" s="72" t="n">
        <v>867</v>
      </c>
      <c r="B871" s="72" t="s">
        <v>2202</v>
      </c>
      <c r="C871" s="72" t="s">
        <v>234</v>
      </c>
      <c r="D871" s="72" t="s">
        <v>2015</v>
      </c>
      <c r="E871" s="73" t="s">
        <v>737</v>
      </c>
      <c r="F871" s="72" t="s">
        <v>2016</v>
      </c>
      <c r="G871" s="74" t="n">
        <v>10759</v>
      </c>
      <c r="H871" s="75" t="s">
        <v>2203</v>
      </c>
      <c r="I871" s="73" t="s">
        <v>152</v>
      </c>
    </row>
    <row r="872" customFormat="false" ht="15" hidden="false" customHeight="false" outlineLevel="0" collapsed="false">
      <c r="A872" s="72" t="n">
        <v>868</v>
      </c>
      <c r="B872" s="72" t="s">
        <v>2204</v>
      </c>
      <c r="C872" s="72" t="s">
        <v>234</v>
      </c>
      <c r="D872" s="72" t="s">
        <v>2015</v>
      </c>
      <c r="E872" s="73" t="s">
        <v>737</v>
      </c>
      <c r="F872" s="72" t="s">
        <v>2016</v>
      </c>
      <c r="G872" s="74" t="n">
        <v>29397</v>
      </c>
      <c r="H872" s="75" t="s">
        <v>2205</v>
      </c>
      <c r="I872" s="73" t="s">
        <v>152</v>
      </c>
    </row>
    <row r="873" customFormat="false" ht="15" hidden="false" customHeight="false" outlineLevel="0" collapsed="false">
      <c r="A873" s="72" t="n">
        <v>869</v>
      </c>
      <c r="B873" s="72" t="s">
        <v>2206</v>
      </c>
      <c r="C873" s="72" t="s">
        <v>234</v>
      </c>
      <c r="D873" s="72" t="s">
        <v>2015</v>
      </c>
      <c r="E873" s="73" t="s">
        <v>617</v>
      </c>
      <c r="F873" s="72" t="s">
        <v>2016</v>
      </c>
      <c r="G873" s="74" t="n">
        <v>7787</v>
      </c>
      <c r="H873" s="75" t="s">
        <v>2207</v>
      </c>
      <c r="I873" s="73" t="s">
        <v>152</v>
      </c>
    </row>
    <row r="874" customFormat="false" ht="15" hidden="false" customHeight="false" outlineLevel="0" collapsed="false">
      <c r="A874" s="72" t="n">
        <v>870</v>
      </c>
      <c r="B874" s="72" t="s">
        <v>2208</v>
      </c>
      <c r="C874" s="72" t="s">
        <v>234</v>
      </c>
      <c r="D874" s="72" t="s">
        <v>2015</v>
      </c>
      <c r="E874" s="73" t="s">
        <v>737</v>
      </c>
      <c r="F874" s="72" t="s">
        <v>2016</v>
      </c>
      <c r="G874" s="74" t="n">
        <v>26371</v>
      </c>
      <c r="H874" s="75" t="s">
        <v>2209</v>
      </c>
      <c r="I874" s="73" t="s">
        <v>152</v>
      </c>
    </row>
    <row r="875" customFormat="false" ht="15" hidden="false" customHeight="false" outlineLevel="0" collapsed="false">
      <c r="A875" s="72" t="n">
        <v>871</v>
      </c>
      <c r="B875" s="72" t="s">
        <v>2210</v>
      </c>
      <c r="C875" s="72" t="s">
        <v>234</v>
      </c>
      <c r="D875" s="72" t="s">
        <v>2015</v>
      </c>
      <c r="E875" s="73" t="s">
        <v>737</v>
      </c>
      <c r="F875" s="72" t="s">
        <v>2016</v>
      </c>
      <c r="G875" s="74" t="n">
        <v>19643</v>
      </c>
      <c r="H875" s="75" t="s">
        <v>2211</v>
      </c>
      <c r="I875" s="73" t="s">
        <v>152</v>
      </c>
    </row>
    <row r="876" customFormat="false" ht="15" hidden="false" customHeight="false" outlineLevel="0" collapsed="false">
      <c r="A876" s="72" t="n">
        <v>872</v>
      </c>
      <c r="B876" s="72" t="s">
        <v>2212</v>
      </c>
      <c r="C876" s="72" t="s">
        <v>234</v>
      </c>
      <c r="D876" s="72" t="s">
        <v>2015</v>
      </c>
      <c r="E876" s="73" t="s">
        <v>617</v>
      </c>
      <c r="F876" s="72" t="s">
        <v>2016</v>
      </c>
      <c r="G876" s="74" t="n">
        <v>1239</v>
      </c>
      <c r="H876" s="75" t="s">
        <v>2213</v>
      </c>
      <c r="I876" s="73" t="s">
        <v>152</v>
      </c>
    </row>
    <row r="877" customFormat="false" ht="15" hidden="false" customHeight="false" outlineLevel="0" collapsed="false">
      <c r="A877" s="72" t="n">
        <v>873</v>
      </c>
      <c r="B877" s="72" t="s">
        <v>2214</v>
      </c>
      <c r="C877" s="72" t="s">
        <v>234</v>
      </c>
      <c r="D877" s="72" t="s">
        <v>2015</v>
      </c>
      <c r="E877" s="73" t="s">
        <v>617</v>
      </c>
      <c r="F877" s="72" t="s">
        <v>2016</v>
      </c>
      <c r="G877" s="74" t="n">
        <v>7213</v>
      </c>
      <c r="H877" s="75" t="s">
        <v>2215</v>
      </c>
      <c r="I877" s="73" t="s">
        <v>152</v>
      </c>
    </row>
    <row r="878" customFormat="false" ht="15" hidden="false" customHeight="false" outlineLevel="0" collapsed="false">
      <c r="A878" s="72" t="n">
        <v>874</v>
      </c>
      <c r="B878" s="72" t="s">
        <v>2216</v>
      </c>
      <c r="C878" s="72" t="s">
        <v>234</v>
      </c>
      <c r="D878" s="72" t="s">
        <v>2015</v>
      </c>
      <c r="E878" s="73" t="s">
        <v>617</v>
      </c>
      <c r="F878" s="72" t="s">
        <v>2016</v>
      </c>
      <c r="G878" s="74" t="n">
        <v>1266</v>
      </c>
      <c r="H878" s="75" t="s">
        <v>2217</v>
      </c>
      <c r="I878" s="73" t="s">
        <v>152</v>
      </c>
    </row>
    <row r="879" customFormat="false" ht="15" hidden="false" customHeight="false" outlineLevel="0" collapsed="false">
      <c r="A879" s="72" t="n">
        <v>875</v>
      </c>
      <c r="B879" s="72" t="s">
        <v>2218</v>
      </c>
      <c r="C879" s="72" t="s">
        <v>234</v>
      </c>
      <c r="D879" s="72" t="s">
        <v>2015</v>
      </c>
      <c r="E879" s="73" t="s">
        <v>617</v>
      </c>
      <c r="F879" s="72" t="s">
        <v>2016</v>
      </c>
      <c r="G879" s="74" t="n">
        <v>2864</v>
      </c>
      <c r="H879" s="75" t="s">
        <v>2219</v>
      </c>
      <c r="I879" s="73" t="s">
        <v>152</v>
      </c>
    </row>
    <row r="880" customFormat="false" ht="15" hidden="false" customHeight="false" outlineLevel="0" collapsed="false">
      <c r="A880" s="72" t="n">
        <v>876</v>
      </c>
      <c r="B880" s="72" t="s">
        <v>2220</v>
      </c>
      <c r="C880" s="72" t="s">
        <v>234</v>
      </c>
      <c r="D880" s="72" t="s">
        <v>2015</v>
      </c>
      <c r="E880" s="73" t="s">
        <v>617</v>
      </c>
      <c r="F880" s="72" t="s">
        <v>2016</v>
      </c>
      <c r="G880" s="74" t="n">
        <v>17285</v>
      </c>
      <c r="H880" s="75" t="s">
        <v>2221</v>
      </c>
      <c r="I880" s="73" t="s">
        <v>152</v>
      </c>
    </row>
    <row r="881" customFormat="false" ht="15" hidden="false" customHeight="false" outlineLevel="0" collapsed="false">
      <c r="A881" s="72" t="n">
        <v>877</v>
      </c>
      <c r="B881" s="72" t="s">
        <v>2222</v>
      </c>
      <c r="C881" s="72" t="s">
        <v>234</v>
      </c>
      <c r="D881" s="72" t="s">
        <v>2015</v>
      </c>
      <c r="E881" s="73" t="s">
        <v>617</v>
      </c>
      <c r="F881" s="72" t="s">
        <v>2016</v>
      </c>
      <c r="G881" s="74" t="n">
        <v>28161</v>
      </c>
      <c r="H881" s="75" t="s">
        <v>2223</v>
      </c>
      <c r="I881" s="73" t="s">
        <v>152</v>
      </c>
    </row>
    <row r="882" customFormat="false" ht="15" hidden="false" customHeight="false" outlineLevel="0" collapsed="false">
      <c r="A882" s="72" t="n">
        <v>878</v>
      </c>
      <c r="B882" s="72" t="s">
        <v>2224</v>
      </c>
      <c r="C882" s="72" t="s">
        <v>234</v>
      </c>
      <c r="D882" s="72" t="s">
        <v>2015</v>
      </c>
      <c r="E882" s="73" t="s">
        <v>617</v>
      </c>
      <c r="F882" s="72" t="s">
        <v>2016</v>
      </c>
      <c r="G882" s="74" t="n">
        <v>1820</v>
      </c>
      <c r="H882" s="75" t="s">
        <v>2225</v>
      </c>
      <c r="I882" s="73" t="s">
        <v>152</v>
      </c>
    </row>
    <row r="883" customFormat="false" ht="15" hidden="false" customHeight="false" outlineLevel="0" collapsed="false">
      <c r="A883" s="72" t="n">
        <v>879</v>
      </c>
      <c r="B883" s="72" t="s">
        <v>2226</v>
      </c>
      <c r="C883" s="72" t="s">
        <v>234</v>
      </c>
      <c r="D883" s="72" t="s">
        <v>2015</v>
      </c>
      <c r="E883" s="73" t="s">
        <v>617</v>
      </c>
      <c r="F883" s="72" t="s">
        <v>2016</v>
      </c>
      <c r="G883" s="74" t="n">
        <v>3790</v>
      </c>
      <c r="H883" s="75" t="s">
        <v>2227</v>
      </c>
      <c r="I883" s="73" t="s">
        <v>152</v>
      </c>
    </row>
    <row r="884" customFormat="false" ht="15" hidden="false" customHeight="false" outlineLevel="0" collapsed="false">
      <c r="A884" s="72" t="n">
        <v>880</v>
      </c>
      <c r="B884" s="72" t="s">
        <v>2228</v>
      </c>
      <c r="C884" s="72" t="s">
        <v>234</v>
      </c>
      <c r="D884" s="72" t="s">
        <v>2015</v>
      </c>
      <c r="E884" s="73" t="s">
        <v>617</v>
      </c>
      <c r="F884" s="72" t="s">
        <v>2016</v>
      </c>
      <c r="G884" s="74" t="n">
        <v>19302</v>
      </c>
      <c r="H884" s="75" t="s">
        <v>2229</v>
      </c>
      <c r="I884" s="73" t="s">
        <v>152</v>
      </c>
    </row>
    <row r="885" customFormat="false" ht="15" hidden="false" customHeight="false" outlineLevel="0" collapsed="false">
      <c r="A885" s="72" t="n">
        <v>881</v>
      </c>
      <c r="B885" s="72" t="s">
        <v>2230</v>
      </c>
      <c r="C885" s="72" t="s">
        <v>234</v>
      </c>
      <c r="D885" s="72" t="s">
        <v>2015</v>
      </c>
      <c r="E885" s="73" t="s">
        <v>617</v>
      </c>
      <c r="F885" s="72" t="s">
        <v>2016</v>
      </c>
      <c r="G885" s="74" t="n">
        <v>1784</v>
      </c>
      <c r="H885" s="75" t="s">
        <v>2231</v>
      </c>
      <c r="I885" s="73" t="s">
        <v>152</v>
      </c>
    </row>
    <row r="886" customFormat="false" ht="15" hidden="false" customHeight="false" outlineLevel="0" collapsed="false">
      <c r="A886" s="72" t="n">
        <v>882</v>
      </c>
      <c r="B886" s="72" t="s">
        <v>2232</v>
      </c>
      <c r="C886" s="72" t="s">
        <v>234</v>
      </c>
      <c r="D886" s="72" t="s">
        <v>2015</v>
      </c>
      <c r="E886" s="73" t="s">
        <v>617</v>
      </c>
      <c r="F886" s="72" t="s">
        <v>2016</v>
      </c>
      <c r="G886" s="74" t="n">
        <v>10476</v>
      </c>
      <c r="H886" s="75" t="s">
        <v>2233</v>
      </c>
      <c r="I886" s="73" t="s">
        <v>152</v>
      </c>
    </row>
    <row r="887" customFormat="false" ht="15" hidden="false" customHeight="false" outlineLevel="0" collapsed="false">
      <c r="A887" s="72" t="n">
        <v>883</v>
      </c>
      <c r="B887" s="72" t="s">
        <v>2234</v>
      </c>
      <c r="C887" s="72" t="s">
        <v>234</v>
      </c>
      <c r="D887" s="72" t="s">
        <v>2015</v>
      </c>
      <c r="E887" s="73" t="s">
        <v>737</v>
      </c>
      <c r="F887" s="72" t="s">
        <v>2016</v>
      </c>
      <c r="G887" s="74" t="n">
        <v>8089</v>
      </c>
      <c r="H887" s="75" t="s">
        <v>2235</v>
      </c>
      <c r="I887" s="73" t="s">
        <v>152</v>
      </c>
    </row>
    <row r="888" customFormat="false" ht="15" hidden="false" customHeight="false" outlineLevel="0" collapsed="false">
      <c r="A888" s="72" t="n">
        <v>884</v>
      </c>
      <c r="B888" s="72" t="s">
        <v>2236</v>
      </c>
      <c r="C888" s="72" t="s">
        <v>234</v>
      </c>
      <c r="D888" s="72" t="s">
        <v>2015</v>
      </c>
      <c r="E888" s="73" t="s">
        <v>617</v>
      </c>
      <c r="F888" s="72" t="s">
        <v>2016</v>
      </c>
      <c r="G888" s="74" t="n">
        <v>38795</v>
      </c>
      <c r="H888" s="75" t="s">
        <v>2237</v>
      </c>
      <c r="I888" s="73" t="s">
        <v>152</v>
      </c>
    </row>
    <row r="889" customFormat="false" ht="15" hidden="false" customHeight="false" outlineLevel="0" collapsed="false">
      <c r="A889" s="72" t="n">
        <v>885</v>
      </c>
      <c r="B889" s="72" t="s">
        <v>2238</v>
      </c>
      <c r="C889" s="72" t="s">
        <v>234</v>
      </c>
      <c r="D889" s="72" t="s">
        <v>2015</v>
      </c>
      <c r="E889" s="73" t="s">
        <v>617</v>
      </c>
      <c r="F889" s="72" t="s">
        <v>2016</v>
      </c>
      <c r="G889" s="74" t="n">
        <v>5778</v>
      </c>
      <c r="H889" s="75" t="s">
        <v>2239</v>
      </c>
      <c r="I889" s="73" t="s">
        <v>152</v>
      </c>
    </row>
    <row r="890" customFormat="false" ht="15" hidden="false" customHeight="false" outlineLevel="0" collapsed="false">
      <c r="A890" s="72" t="n">
        <v>886</v>
      </c>
      <c r="B890" s="72" t="s">
        <v>2240</v>
      </c>
      <c r="C890" s="72" t="s">
        <v>234</v>
      </c>
      <c r="D890" s="72" t="s">
        <v>2015</v>
      </c>
      <c r="E890" s="73" t="s">
        <v>617</v>
      </c>
      <c r="F890" s="72" t="s">
        <v>2016</v>
      </c>
      <c r="G890" s="74" t="n">
        <v>2894</v>
      </c>
      <c r="H890" s="75" t="s">
        <v>2241</v>
      </c>
      <c r="I890" s="73" t="s">
        <v>152</v>
      </c>
    </row>
    <row r="891" customFormat="false" ht="15" hidden="false" customHeight="false" outlineLevel="0" collapsed="false">
      <c r="A891" s="72" t="n">
        <v>887</v>
      </c>
      <c r="B891" s="72" t="s">
        <v>2242</v>
      </c>
      <c r="C891" s="72" t="s">
        <v>234</v>
      </c>
      <c r="D891" s="72" t="s">
        <v>2015</v>
      </c>
      <c r="E891" s="73" t="s">
        <v>617</v>
      </c>
      <c r="F891" s="72" t="s">
        <v>2016</v>
      </c>
      <c r="G891" s="74" t="n">
        <v>54065</v>
      </c>
      <c r="H891" s="75" t="s">
        <v>2243</v>
      </c>
      <c r="I891" s="73" t="s">
        <v>152</v>
      </c>
    </row>
    <row r="892" customFormat="false" ht="15" hidden="false" customHeight="false" outlineLevel="0" collapsed="false">
      <c r="A892" s="72" t="n">
        <v>888</v>
      </c>
      <c r="B892" s="72" t="s">
        <v>2244</v>
      </c>
      <c r="C892" s="72" t="s">
        <v>234</v>
      </c>
      <c r="D892" s="72" t="s">
        <v>2015</v>
      </c>
      <c r="E892" s="73" t="s">
        <v>617</v>
      </c>
      <c r="F892" s="72" t="s">
        <v>2016</v>
      </c>
      <c r="G892" s="74" t="n">
        <v>7142</v>
      </c>
      <c r="H892" s="75" t="s">
        <v>2245</v>
      </c>
      <c r="I892" s="73" t="s">
        <v>152</v>
      </c>
    </row>
    <row r="893" customFormat="false" ht="15" hidden="false" customHeight="false" outlineLevel="0" collapsed="false">
      <c r="A893" s="72" t="n">
        <v>889</v>
      </c>
      <c r="B893" s="72" t="s">
        <v>2246</v>
      </c>
      <c r="C893" s="72" t="s">
        <v>163</v>
      </c>
      <c r="D893" s="73" t="s">
        <v>2247</v>
      </c>
      <c r="E893" s="73" t="s">
        <v>617</v>
      </c>
      <c r="F893" s="72" t="s">
        <v>2248</v>
      </c>
      <c r="G893" s="74" t="n">
        <v>1382</v>
      </c>
      <c r="H893" s="75" t="s">
        <v>2249</v>
      </c>
      <c r="I893" s="72" t="s">
        <v>166</v>
      </c>
    </row>
    <row r="894" customFormat="false" ht="15" hidden="false" customHeight="false" outlineLevel="0" collapsed="false">
      <c r="A894" s="72" t="n">
        <v>890</v>
      </c>
      <c r="B894" s="72" t="s">
        <v>2250</v>
      </c>
      <c r="C894" s="72" t="s">
        <v>192</v>
      </c>
      <c r="D894" s="73" t="s">
        <v>2251</v>
      </c>
      <c r="E894" s="73" t="s">
        <v>617</v>
      </c>
      <c r="F894" s="72" t="s">
        <v>834</v>
      </c>
      <c r="G894" s="74" t="n">
        <v>115</v>
      </c>
      <c r="H894" s="75" t="s">
        <v>2252</v>
      </c>
      <c r="I894" s="72" t="s">
        <v>166</v>
      </c>
    </row>
    <row r="895" customFormat="false" ht="15" hidden="false" customHeight="false" outlineLevel="0" collapsed="false">
      <c r="A895" s="72" t="n">
        <v>891</v>
      </c>
      <c r="B895" s="72" t="s">
        <v>2253</v>
      </c>
      <c r="C895" s="72" t="s">
        <v>192</v>
      </c>
      <c r="D895" s="73" t="s">
        <v>2251</v>
      </c>
      <c r="E895" s="73" t="s">
        <v>617</v>
      </c>
      <c r="F895" s="72" t="s">
        <v>2248</v>
      </c>
      <c r="G895" s="74" t="n">
        <v>1648</v>
      </c>
      <c r="H895" s="75" t="s">
        <v>2254</v>
      </c>
      <c r="I895" s="72" t="s">
        <v>166</v>
      </c>
    </row>
    <row r="896" customFormat="false" ht="15" hidden="false" customHeight="false" outlineLevel="0" collapsed="false">
      <c r="A896" s="72" t="n">
        <v>892</v>
      </c>
      <c r="B896" s="72" t="s">
        <v>2255</v>
      </c>
      <c r="C896" s="72" t="s">
        <v>192</v>
      </c>
      <c r="D896" s="73" t="s">
        <v>2251</v>
      </c>
      <c r="E896" s="73" t="s">
        <v>617</v>
      </c>
      <c r="F896" s="72" t="s">
        <v>2248</v>
      </c>
      <c r="G896" s="74" t="n">
        <v>2030</v>
      </c>
      <c r="H896" s="75" t="s">
        <v>2256</v>
      </c>
      <c r="I896" s="72" t="s">
        <v>166</v>
      </c>
    </row>
    <row r="897" customFormat="false" ht="15" hidden="false" customHeight="false" outlineLevel="0" collapsed="false">
      <c r="A897" s="72" t="n">
        <v>893</v>
      </c>
      <c r="B897" s="72" t="s">
        <v>2257</v>
      </c>
      <c r="C897" s="72" t="s">
        <v>192</v>
      </c>
      <c r="D897" s="73" t="s">
        <v>2251</v>
      </c>
      <c r="E897" s="73" t="s">
        <v>617</v>
      </c>
      <c r="F897" s="72" t="s">
        <v>2248</v>
      </c>
      <c r="G897" s="74" t="n">
        <v>5374</v>
      </c>
      <c r="H897" s="75" t="s">
        <v>2258</v>
      </c>
      <c r="I897" s="72" t="s">
        <v>166</v>
      </c>
    </row>
    <row r="898" customFormat="false" ht="15" hidden="false" customHeight="false" outlineLevel="0" collapsed="false">
      <c r="A898" s="72" t="n">
        <v>894</v>
      </c>
      <c r="B898" s="72" t="s">
        <v>2259</v>
      </c>
      <c r="C898" s="72" t="s">
        <v>192</v>
      </c>
      <c r="D898" s="73" t="s">
        <v>2251</v>
      </c>
      <c r="E898" s="73" t="s">
        <v>617</v>
      </c>
      <c r="F898" s="72" t="s">
        <v>2248</v>
      </c>
      <c r="G898" s="74" t="n">
        <v>1373</v>
      </c>
      <c r="H898" s="75" t="s">
        <v>2260</v>
      </c>
      <c r="I898" s="72" t="s">
        <v>166</v>
      </c>
    </row>
    <row r="899" customFormat="false" ht="15" hidden="false" customHeight="false" outlineLevel="0" collapsed="false">
      <c r="A899" s="72" t="n">
        <v>895</v>
      </c>
      <c r="B899" s="72" t="s">
        <v>2261</v>
      </c>
      <c r="C899" s="72" t="s">
        <v>192</v>
      </c>
      <c r="D899" s="73" t="s">
        <v>2251</v>
      </c>
      <c r="E899" s="73" t="s">
        <v>617</v>
      </c>
      <c r="F899" s="72" t="s">
        <v>2248</v>
      </c>
      <c r="G899" s="74" t="n">
        <v>2257</v>
      </c>
      <c r="H899" s="75" t="s">
        <v>2262</v>
      </c>
      <c r="I899" s="72" t="s">
        <v>166</v>
      </c>
    </row>
    <row r="900" customFormat="false" ht="15" hidden="false" customHeight="false" outlineLevel="0" collapsed="false">
      <c r="A900" s="72" t="n">
        <v>896</v>
      </c>
      <c r="B900" s="72" t="s">
        <v>2263</v>
      </c>
      <c r="C900" s="72" t="s">
        <v>192</v>
      </c>
      <c r="D900" s="73" t="s">
        <v>2251</v>
      </c>
      <c r="E900" s="73" t="s">
        <v>617</v>
      </c>
      <c r="F900" s="72" t="s">
        <v>2248</v>
      </c>
      <c r="G900" s="74" t="n">
        <v>845</v>
      </c>
      <c r="H900" s="75" t="s">
        <v>2264</v>
      </c>
      <c r="I900" s="72" t="s">
        <v>166</v>
      </c>
    </row>
    <row r="901" customFormat="false" ht="15" hidden="false" customHeight="false" outlineLevel="0" collapsed="false">
      <c r="A901" s="72" t="n">
        <v>897</v>
      </c>
      <c r="B901" s="72" t="s">
        <v>2265</v>
      </c>
      <c r="C901" s="72" t="s">
        <v>192</v>
      </c>
      <c r="D901" s="73" t="s">
        <v>2251</v>
      </c>
      <c r="E901" s="73" t="s">
        <v>617</v>
      </c>
      <c r="F901" s="72" t="s">
        <v>2248</v>
      </c>
      <c r="G901" s="74" t="n">
        <v>1088</v>
      </c>
      <c r="H901" s="75" t="s">
        <v>2266</v>
      </c>
      <c r="I901" s="72" t="s">
        <v>166</v>
      </c>
    </row>
    <row r="902" customFormat="false" ht="15" hidden="false" customHeight="false" outlineLevel="0" collapsed="false">
      <c r="A902" s="72" t="n">
        <v>898</v>
      </c>
      <c r="B902" s="72" t="s">
        <v>2267</v>
      </c>
      <c r="C902" s="72" t="s">
        <v>192</v>
      </c>
      <c r="D902" s="73" t="s">
        <v>2251</v>
      </c>
      <c r="E902" s="73" t="s">
        <v>617</v>
      </c>
      <c r="F902" s="72" t="s">
        <v>2248</v>
      </c>
      <c r="G902" s="74" t="n">
        <v>899</v>
      </c>
      <c r="H902" s="75" t="s">
        <v>2268</v>
      </c>
      <c r="I902" s="72" t="s">
        <v>166</v>
      </c>
    </row>
    <row r="903" customFormat="false" ht="15" hidden="false" customHeight="false" outlineLevel="0" collapsed="false">
      <c r="A903" s="72" t="n">
        <v>899</v>
      </c>
      <c r="B903" s="72" t="s">
        <v>2269</v>
      </c>
      <c r="C903" s="72" t="s">
        <v>192</v>
      </c>
      <c r="D903" s="73" t="s">
        <v>2251</v>
      </c>
      <c r="E903" s="73" t="s">
        <v>617</v>
      </c>
      <c r="F903" s="72" t="s">
        <v>2248</v>
      </c>
      <c r="G903" s="74" t="n">
        <v>175</v>
      </c>
      <c r="H903" s="75" t="s">
        <v>2270</v>
      </c>
      <c r="I903" s="72" t="s">
        <v>166</v>
      </c>
    </row>
    <row r="904" customFormat="false" ht="15" hidden="false" customHeight="false" outlineLevel="0" collapsed="false">
      <c r="A904" s="72" t="n">
        <v>900</v>
      </c>
      <c r="B904" s="72" t="s">
        <v>2271</v>
      </c>
      <c r="C904" s="72" t="s">
        <v>192</v>
      </c>
      <c r="D904" s="73" t="s">
        <v>2251</v>
      </c>
      <c r="E904" s="73" t="s">
        <v>617</v>
      </c>
      <c r="F904" s="72" t="s">
        <v>834</v>
      </c>
      <c r="G904" s="74" t="n">
        <v>7399</v>
      </c>
      <c r="H904" s="75" t="s">
        <v>2272</v>
      </c>
      <c r="I904" s="72" t="s">
        <v>166</v>
      </c>
    </row>
    <row r="905" customFormat="false" ht="15" hidden="false" customHeight="false" outlineLevel="0" collapsed="false">
      <c r="A905" s="72" t="n">
        <v>901</v>
      </c>
      <c r="B905" s="72" t="s">
        <v>2273</v>
      </c>
      <c r="C905" s="72" t="s">
        <v>192</v>
      </c>
      <c r="D905" s="73" t="s">
        <v>2251</v>
      </c>
      <c r="E905" s="73" t="s">
        <v>617</v>
      </c>
      <c r="F905" s="72" t="s">
        <v>834</v>
      </c>
      <c r="G905" s="74" t="n">
        <v>11571</v>
      </c>
      <c r="H905" s="75" t="s">
        <v>2274</v>
      </c>
      <c r="I905" s="72" t="s">
        <v>166</v>
      </c>
    </row>
    <row r="906" customFormat="false" ht="15" hidden="false" customHeight="false" outlineLevel="0" collapsed="false">
      <c r="A906" s="72" t="n">
        <v>902</v>
      </c>
      <c r="B906" s="72" t="s">
        <v>2275</v>
      </c>
      <c r="C906" s="72" t="s">
        <v>192</v>
      </c>
      <c r="D906" s="73" t="s">
        <v>2251</v>
      </c>
      <c r="E906" s="73" t="s">
        <v>617</v>
      </c>
      <c r="F906" s="72" t="s">
        <v>834</v>
      </c>
      <c r="G906" s="74" t="n">
        <v>14984</v>
      </c>
      <c r="H906" s="75" t="s">
        <v>2276</v>
      </c>
      <c r="I906" s="72" t="s">
        <v>166</v>
      </c>
    </row>
    <row r="907" customFormat="false" ht="15" hidden="false" customHeight="false" outlineLevel="0" collapsed="false">
      <c r="A907" s="72" t="n">
        <v>903</v>
      </c>
      <c r="B907" s="72" t="s">
        <v>2277</v>
      </c>
      <c r="C907" s="72" t="s">
        <v>192</v>
      </c>
      <c r="D907" s="73" t="s">
        <v>2251</v>
      </c>
      <c r="E907" s="73" t="s">
        <v>617</v>
      </c>
      <c r="F907" s="72" t="s">
        <v>834</v>
      </c>
      <c r="G907" s="74" t="n">
        <v>873</v>
      </c>
      <c r="H907" s="75" t="s">
        <v>2278</v>
      </c>
      <c r="I907" s="72" t="s">
        <v>166</v>
      </c>
    </row>
    <row r="908" customFormat="false" ht="15" hidden="false" customHeight="false" outlineLevel="0" collapsed="false">
      <c r="A908" s="72" t="n">
        <v>904</v>
      </c>
      <c r="B908" s="72" t="s">
        <v>2279</v>
      </c>
      <c r="C908" s="72" t="s">
        <v>192</v>
      </c>
      <c r="D908" s="73" t="s">
        <v>2251</v>
      </c>
      <c r="E908" s="73" t="s">
        <v>617</v>
      </c>
      <c r="F908" s="72" t="s">
        <v>834</v>
      </c>
      <c r="G908" s="74" t="n">
        <v>16940</v>
      </c>
      <c r="H908" s="75" t="s">
        <v>2280</v>
      </c>
      <c r="I908" s="72" t="s">
        <v>166</v>
      </c>
    </row>
    <row r="909" customFormat="false" ht="15" hidden="false" customHeight="false" outlineLevel="0" collapsed="false">
      <c r="A909" s="72" t="n">
        <v>905</v>
      </c>
      <c r="B909" s="72" t="s">
        <v>2281</v>
      </c>
      <c r="C909" s="72" t="s">
        <v>192</v>
      </c>
      <c r="D909" s="73" t="s">
        <v>2251</v>
      </c>
      <c r="E909" s="73" t="s">
        <v>617</v>
      </c>
      <c r="F909" s="72" t="s">
        <v>834</v>
      </c>
      <c r="G909" s="74" t="n">
        <v>1151</v>
      </c>
      <c r="H909" s="75" t="s">
        <v>2282</v>
      </c>
      <c r="I909" s="72" t="s">
        <v>166</v>
      </c>
    </row>
    <row r="910" customFormat="false" ht="15" hidden="false" customHeight="false" outlineLevel="0" collapsed="false">
      <c r="A910" s="72" t="n">
        <v>906</v>
      </c>
      <c r="B910" s="72" t="s">
        <v>2283</v>
      </c>
      <c r="C910" s="72" t="s">
        <v>192</v>
      </c>
      <c r="D910" s="73" t="s">
        <v>2251</v>
      </c>
      <c r="E910" s="73" t="s">
        <v>617</v>
      </c>
      <c r="F910" s="72" t="s">
        <v>2248</v>
      </c>
      <c r="G910" s="74" t="n">
        <v>1364</v>
      </c>
      <c r="H910" s="75" t="s">
        <v>2284</v>
      </c>
      <c r="I910" s="72" t="s">
        <v>166</v>
      </c>
    </row>
    <row r="911" customFormat="false" ht="15" hidden="false" customHeight="false" outlineLevel="0" collapsed="false">
      <c r="A911" s="72" t="n">
        <v>907</v>
      </c>
      <c r="B911" s="72" t="s">
        <v>2285</v>
      </c>
      <c r="C911" s="72" t="s">
        <v>192</v>
      </c>
      <c r="D911" s="73" t="s">
        <v>2251</v>
      </c>
      <c r="E911" s="73" t="s">
        <v>617</v>
      </c>
      <c r="F911" s="72" t="s">
        <v>2248</v>
      </c>
      <c r="G911" s="74" t="n">
        <v>4512</v>
      </c>
      <c r="H911" s="75" t="s">
        <v>2286</v>
      </c>
      <c r="I911" s="72" t="s">
        <v>166</v>
      </c>
    </row>
    <row r="912" customFormat="false" ht="15" hidden="false" customHeight="false" outlineLevel="0" collapsed="false">
      <c r="A912" s="72" t="n">
        <v>908</v>
      </c>
      <c r="B912" s="72" t="s">
        <v>2287</v>
      </c>
      <c r="C912" s="72" t="s">
        <v>192</v>
      </c>
      <c r="D912" s="73" t="s">
        <v>2251</v>
      </c>
      <c r="E912" s="73" t="s">
        <v>617</v>
      </c>
      <c r="F912" s="72" t="s">
        <v>2248</v>
      </c>
      <c r="G912" s="74" t="n">
        <v>4801</v>
      </c>
      <c r="H912" s="75" t="s">
        <v>2288</v>
      </c>
      <c r="I912" s="72" t="s">
        <v>166</v>
      </c>
    </row>
    <row r="913" customFormat="false" ht="15" hidden="false" customHeight="false" outlineLevel="0" collapsed="false">
      <c r="A913" s="72" t="n">
        <v>909</v>
      </c>
      <c r="B913" s="72" t="s">
        <v>2289</v>
      </c>
      <c r="C913" s="72" t="s">
        <v>192</v>
      </c>
      <c r="D913" s="73" t="s">
        <v>2251</v>
      </c>
      <c r="E913" s="73" t="s">
        <v>617</v>
      </c>
      <c r="F913" s="72" t="s">
        <v>2248</v>
      </c>
      <c r="G913" s="74" t="n">
        <v>3593</v>
      </c>
      <c r="H913" s="75" t="s">
        <v>2290</v>
      </c>
      <c r="I913" s="72" t="s">
        <v>166</v>
      </c>
    </row>
    <row r="914" customFormat="false" ht="15" hidden="false" customHeight="false" outlineLevel="0" collapsed="false">
      <c r="A914" s="72" t="n">
        <v>910</v>
      </c>
      <c r="B914" s="72" t="s">
        <v>2291</v>
      </c>
      <c r="C914" s="72" t="s">
        <v>192</v>
      </c>
      <c r="D914" s="73" t="s">
        <v>2251</v>
      </c>
      <c r="E914" s="73" t="s">
        <v>617</v>
      </c>
      <c r="F914" s="72" t="s">
        <v>2248</v>
      </c>
      <c r="G914" s="74" t="n">
        <v>1938</v>
      </c>
      <c r="H914" s="75" t="s">
        <v>2292</v>
      </c>
      <c r="I914" s="72" t="s">
        <v>166</v>
      </c>
    </row>
    <row r="915" customFormat="false" ht="15" hidden="false" customHeight="false" outlineLevel="0" collapsed="false">
      <c r="A915" s="72" t="n">
        <v>911</v>
      </c>
      <c r="B915" s="72" t="s">
        <v>2293</v>
      </c>
      <c r="C915" s="72" t="s">
        <v>192</v>
      </c>
      <c r="D915" s="73" t="s">
        <v>2251</v>
      </c>
      <c r="E915" s="73" t="s">
        <v>617</v>
      </c>
      <c r="F915" s="72" t="s">
        <v>2248</v>
      </c>
      <c r="G915" s="74" t="n">
        <v>8274</v>
      </c>
      <c r="H915" s="75" t="s">
        <v>2294</v>
      </c>
      <c r="I915" s="72" t="s">
        <v>166</v>
      </c>
    </row>
    <row r="916" customFormat="false" ht="15" hidden="false" customHeight="false" outlineLevel="0" collapsed="false">
      <c r="A916" s="72" t="n">
        <v>912</v>
      </c>
      <c r="B916" s="72" t="s">
        <v>2295</v>
      </c>
      <c r="C916" s="72" t="s">
        <v>192</v>
      </c>
      <c r="D916" s="73" t="s">
        <v>2251</v>
      </c>
      <c r="E916" s="73" t="s">
        <v>617</v>
      </c>
      <c r="F916" s="72" t="s">
        <v>2248</v>
      </c>
      <c r="G916" s="74" t="n">
        <v>1720</v>
      </c>
      <c r="H916" s="75" t="s">
        <v>2296</v>
      </c>
      <c r="I916" s="72" t="s">
        <v>166</v>
      </c>
    </row>
    <row r="917" customFormat="false" ht="15" hidden="false" customHeight="false" outlineLevel="0" collapsed="false">
      <c r="A917" s="72" t="n">
        <v>913</v>
      </c>
      <c r="B917" s="72" t="s">
        <v>2297</v>
      </c>
      <c r="C917" s="72" t="s">
        <v>192</v>
      </c>
      <c r="D917" s="73" t="s">
        <v>2251</v>
      </c>
      <c r="E917" s="73" t="s">
        <v>617</v>
      </c>
      <c r="F917" s="72" t="s">
        <v>2248</v>
      </c>
      <c r="G917" s="74" t="n">
        <v>940</v>
      </c>
      <c r="H917" s="75" t="s">
        <v>2298</v>
      </c>
      <c r="I917" s="72" t="s">
        <v>166</v>
      </c>
    </row>
    <row r="918" customFormat="false" ht="15" hidden="false" customHeight="false" outlineLevel="0" collapsed="false">
      <c r="A918" s="72" t="n">
        <v>914</v>
      </c>
      <c r="B918" s="72" t="s">
        <v>2299</v>
      </c>
      <c r="C918" s="72" t="s">
        <v>192</v>
      </c>
      <c r="D918" s="73" t="s">
        <v>2251</v>
      </c>
      <c r="E918" s="73" t="s">
        <v>617</v>
      </c>
      <c r="F918" s="72" t="s">
        <v>2248</v>
      </c>
      <c r="G918" s="74" t="n">
        <v>24120</v>
      </c>
      <c r="H918" s="75" t="s">
        <v>2300</v>
      </c>
      <c r="I918" s="72" t="s">
        <v>166</v>
      </c>
    </row>
    <row r="919" customFormat="false" ht="15" hidden="false" customHeight="false" outlineLevel="0" collapsed="false">
      <c r="A919" s="72" t="n">
        <v>915</v>
      </c>
      <c r="B919" s="72" t="s">
        <v>2301</v>
      </c>
      <c r="C919" s="72" t="s">
        <v>192</v>
      </c>
      <c r="D919" s="73" t="s">
        <v>2251</v>
      </c>
      <c r="E919" s="73" t="s">
        <v>617</v>
      </c>
      <c r="F919" s="72" t="s">
        <v>2248</v>
      </c>
      <c r="G919" s="74" t="n">
        <v>4282</v>
      </c>
      <c r="H919" s="75" t="s">
        <v>2302</v>
      </c>
      <c r="I919" s="72" t="s">
        <v>166</v>
      </c>
    </row>
    <row r="920" customFormat="false" ht="15" hidden="false" customHeight="false" outlineLevel="0" collapsed="false">
      <c r="A920" s="72" t="n">
        <v>916</v>
      </c>
      <c r="B920" s="72" t="s">
        <v>2303</v>
      </c>
      <c r="C920" s="72" t="s">
        <v>192</v>
      </c>
      <c r="D920" s="73" t="s">
        <v>2251</v>
      </c>
      <c r="E920" s="73" t="s">
        <v>617</v>
      </c>
      <c r="F920" s="72" t="s">
        <v>2248</v>
      </c>
      <c r="G920" s="74" t="n">
        <v>2635</v>
      </c>
      <c r="H920" s="75" t="s">
        <v>2304</v>
      </c>
      <c r="I920" s="72" t="s">
        <v>166</v>
      </c>
    </row>
    <row r="921" customFormat="false" ht="15" hidden="false" customHeight="false" outlineLevel="0" collapsed="false">
      <c r="A921" s="72" t="n">
        <v>917</v>
      </c>
      <c r="B921" s="72" t="s">
        <v>2305</v>
      </c>
      <c r="C921" s="72" t="s">
        <v>192</v>
      </c>
      <c r="D921" s="73" t="s">
        <v>2251</v>
      </c>
      <c r="E921" s="73" t="s">
        <v>617</v>
      </c>
      <c r="F921" s="72" t="s">
        <v>2248</v>
      </c>
      <c r="G921" s="74" t="n">
        <v>1661</v>
      </c>
      <c r="H921" s="75" t="s">
        <v>2306</v>
      </c>
      <c r="I921" s="72" t="s">
        <v>166</v>
      </c>
    </row>
    <row r="922" customFormat="false" ht="15" hidden="false" customHeight="false" outlineLevel="0" collapsed="false">
      <c r="A922" s="72" t="n">
        <v>918</v>
      </c>
      <c r="B922" s="72" t="s">
        <v>2307</v>
      </c>
      <c r="C922" s="72" t="s">
        <v>192</v>
      </c>
      <c r="D922" s="73" t="s">
        <v>2251</v>
      </c>
      <c r="E922" s="73" t="s">
        <v>866</v>
      </c>
      <c r="F922" s="72" t="s">
        <v>867</v>
      </c>
      <c r="G922" s="74" t="n">
        <v>45650</v>
      </c>
      <c r="H922" s="75" t="s">
        <v>2308</v>
      </c>
      <c r="I922" s="72" t="s">
        <v>166</v>
      </c>
    </row>
    <row r="923" customFormat="false" ht="15" hidden="false" customHeight="false" outlineLevel="0" collapsed="false">
      <c r="A923" s="72" t="n">
        <v>919</v>
      </c>
      <c r="B923" s="72" t="s">
        <v>2309</v>
      </c>
      <c r="C923" s="72" t="s">
        <v>186</v>
      </c>
      <c r="D923" s="73" t="s">
        <v>2310</v>
      </c>
      <c r="E923" s="73" t="s">
        <v>617</v>
      </c>
      <c r="F923" s="72" t="s">
        <v>2248</v>
      </c>
      <c r="G923" s="74" t="n">
        <v>4464</v>
      </c>
      <c r="H923" s="75" t="s">
        <v>2311</v>
      </c>
      <c r="I923" s="72" t="s">
        <v>166</v>
      </c>
    </row>
    <row r="924" customFormat="false" ht="15" hidden="false" customHeight="false" outlineLevel="0" collapsed="false">
      <c r="A924" s="72" t="n">
        <v>920</v>
      </c>
      <c r="B924" s="72" t="s">
        <v>2312</v>
      </c>
      <c r="C924" s="72" t="s">
        <v>186</v>
      </c>
      <c r="D924" s="73" t="s">
        <v>2310</v>
      </c>
      <c r="E924" s="73" t="s">
        <v>617</v>
      </c>
      <c r="F924" s="72" t="s">
        <v>2248</v>
      </c>
      <c r="G924" s="74" t="n">
        <v>10803</v>
      </c>
      <c r="H924" s="75" t="s">
        <v>2313</v>
      </c>
      <c r="I924" s="72" t="s">
        <v>166</v>
      </c>
    </row>
    <row r="925" customFormat="false" ht="15" hidden="false" customHeight="false" outlineLevel="0" collapsed="false">
      <c r="A925" s="72" t="n">
        <v>921</v>
      </c>
      <c r="B925" s="72" t="s">
        <v>2314</v>
      </c>
      <c r="C925" s="72" t="s">
        <v>186</v>
      </c>
      <c r="D925" s="73" t="s">
        <v>2310</v>
      </c>
      <c r="E925" s="73" t="s">
        <v>617</v>
      </c>
      <c r="F925" s="72" t="s">
        <v>2248</v>
      </c>
      <c r="G925" s="74" t="n">
        <v>2983</v>
      </c>
      <c r="H925" s="75" t="s">
        <v>2315</v>
      </c>
      <c r="I925" s="72" t="s">
        <v>166</v>
      </c>
    </row>
    <row r="926" customFormat="false" ht="15" hidden="false" customHeight="false" outlineLevel="0" collapsed="false">
      <c r="A926" s="72" t="n">
        <v>922</v>
      </c>
      <c r="B926" s="72" t="s">
        <v>2316</v>
      </c>
      <c r="C926" s="72" t="s">
        <v>186</v>
      </c>
      <c r="D926" s="73" t="s">
        <v>2310</v>
      </c>
      <c r="E926" s="73" t="s">
        <v>617</v>
      </c>
      <c r="F926" s="72" t="s">
        <v>2248</v>
      </c>
      <c r="G926" s="74" t="n">
        <v>4057</v>
      </c>
      <c r="H926" s="75" t="s">
        <v>2317</v>
      </c>
      <c r="I926" s="72" t="s">
        <v>166</v>
      </c>
    </row>
    <row r="927" customFormat="false" ht="15" hidden="false" customHeight="false" outlineLevel="0" collapsed="false">
      <c r="A927" s="72" t="n">
        <v>923</v>
      </c>
      <c r="B927" s="72" t="s">
        <v>2318</v>
      </c>
      <c r="C927" s="72" t="s">
        <v>186</v>
      </c>
      <c r="D927" s="73" t="s">
        <v>2310</v>
      </c>
      <c r="E927" s="73" t="s">
        <v>617</v>
      </c>
      <c r="F927" s="72" t="s">
        <v>2248</v>
      </c>
      <c r="G927" s="74" t="n">
        <v>1525</v>
      </c>
      <c r="H927" s="75" t="s">
        <v>2319</v>
      </c>
      <c r="I927" s="72" t="s">
        <v>166</v>
      </c>
    </row>
    <row r="928" customFormat="false" ht="15" hidden="false" customHeight="false" outlineLevel="0" collapsed="false">
      <c r="A928" s="72" t="n">
        <v>924</v>
      </c>
      <c r="B928" s="72" t="s">
        <v>2320</v>
      </c>
      <c r="C928" s="72" t="s">
        <v>186</v>
      </c>
      <c r="D928" s="73" t="s">
        <v>2310</v>
      </c>
      <c r="E928" s="73" t="s">
        <v>617</v>
      </c>
      <c r="F928" s="72" t="s">
        <v>2248</v>
      </c>
      <c r="G928" s="74" t="n">
        <v>3218</v>
      </c>
      <c r="H928" s="75" t="s">
        <v>2321</v>
      </c>
      <c r="I928" s="72" t="s">
        <v>166</v>
      </c>
    </row>
    <row r="929" customFormat="false" ht="15" hidden="false" customHeight="false" outlineLevel="0" collapsed="false">
      <c r="A929" s="72" t="n">
        <v>925</v>
      </c>
      <c r="B929" s="72" t="s">
        <v>2322</v>
      </c>
      <c r="C929" s="72" t="s">
        <v>186</v>
      </c>
      <c r="D929" s="73" t="s">
        <v>2310</v>
      </c>
      <c r="E929" s="73" t="s">
        <v>617</v>
      </c>
      <c r="F929" s="72" t="s">
        <v>2248</v>
      </c>
      <c r="G929" s="74" t="n">
        <v>4048</v>
      </c>
      <c r="H929" s="75" t="s">
        <v>2323</v>
      </c>
      <c r="I929" s="72" t="s">
        <v>166</v>
      </c>
    </row>
    <row r="930" customFormat="false" ht="15" hidden="false" customHeight="false" outlineLevel="0" collapsed="false">
      <c r="A930" s="72" t="n">
        <v>926</v>
      </c>
      <c r="B930" s="72" t="s">
        <v>2324</v>
      </c>
      <c r="C930" s="72" t="s">
        <v>186</v>
      </c>
      <c r="D930" s="73" t="s">
        <v>2310</v>
      </c>
      <c r="E930" s="73" t="s">
        <v>722</v>
      </c>
      <c r="F930" s="72" t="s">
        <v>2325</v>
      </c>
      <c r="G930" s="74" t="n">
        <v>2271</v>
      </c>
      <c r="H930" s="75" t="s">
        <v>2326</v>
      </c>
      <c r="I930" s="72" t="s">
        <v>166</v>
      </c>
    </row>
    <row r="931" customFormat="false" ht="15" hidden="false" customHeight="false" outlineLevel="0" collapsed="false">
      <c r="A931" s="72" t="n">
        <v>927</v>
      </c>
      <c r="B931" s="72" t="s">
        <v>2327</v>
      </c>
      <c r="C931" s="72" t="s">
        <v>186</v>
      </c>
      <c r="D931" s="73" t="s">
        <v>2310</v>
      </c>
      <c r="E931" s="73" t="s">
        <v>617</v>
      </c>
      <c r="F931" s="72" t="s">
        <v>834</v>
      </c>
      <c r="G931" s="74" t="n">
        <v>1111</v>
      </c>
      <c r="H931" s="75" t="s">
        <v>2328</v>
      </c>
      <c r="I931" s="72" t="s">
        <v>166</v>
      </c>
    </row>
    <row r="932" customFormat="false" ht="15" hidden="false" customHeight="false" outlineLevel="0" collapsed="false">
      <c r="A932" s="72" t="n">
        <v>928</v>
      </c>
      <c r="B932" s="72" t="s">
        <v>2329</v>
      </c>
      <c r="C932" s="72" t="s">
        <v>186</v>
      </c>
      <c r="D932" s="73" t="s">
        <v>2310</v>
      </c>
      <c r="E932" s="73" t="s">
        <v>617</v>
      </c>
      <c r="F932" s="72" t="s">
        <v>834</v>
      </c>
      <c r="G932" s="74" t="n">
        <v>675</v>
      </c>
      <c r="H932" s="75" t="s">
        <v>2330</v>
      </c>
      <c r="I932" s="72" t="s">
        <v>166</v>
      </c>
    </row>
    <row r="933" customFormat="false" ht="15" hidden="false" customHeight="false" outlineLevel="0" collapsed="false">
      <c r="A933" s="72" t="n">
        <v>929</v>
      </c>
      <c r="B933" s="72" t="s">
        <v>2331</v>
      </c>
      <c r="C933" s="72" t="s">
        <v>186</v>
      </c>
      <c r="D933" s="73" t="s">
        <v>2310</v>
      </c>
      <c r="E933" s="73" t="s">
        <v>617</v>
      </c>
      <c r="F933" s="72" t="s">
        <v>834</v>
      </c>
      <c r="G933" s="74" t="n">
        <v>635</v>
      </c>
      <c r="H933" s="75" t="s">
        <v>2332</v>
      </c>
      <c r="I933" s="72" t="s">
        <v>166</v>
      </c>
    </row>
    <row r="934" customFormat="false" ht="15" hidden="false" customHeight="false" outlineLevel="0" collapsed="false">
      <c r="A934" s="72" t="n">
        <v>930</v>
      </c>
      <c r="B934" s="72" t="s">
        <v>2333</v>
      </c>
      <c r="C934" s="72" t="s">
        <v>186</v>
      </c>
      <c r="D934" s="73" t="s">
        <v>2310</v>
      </c>
      <c r="E934" s="73" t="s">
        <v>617</v>
      </c>
      <c r="F934" s="72" t="s">
        <v>834</v>
      </c>
      <c r="G934" s="74" t="n">
        <v>5926</v>
      </c>
      <c r="H934" s="75" t="s">
        <v>2334</v>
      </c>
      <c r="I934" s="72" t="s">
        <v>166</v>
      </c>
    </row>
    <row r="935" customFormat="false" ht="15" hidden="false" customHeight="false" outlineLevel="0" collapsed="false">
      <c r="A935" s="72" t="n">
        <v>931</v>
      </c>
      <c r="B935" s="72" t="s">
        <v>2335</v>
      </c>
      <c r="C935" s="72" t="s">
        <v>186</v>
      </c>
      <c r="D935" s="73" t="s">
        <v>2310</v>
      </c>
      <c r="E935" s="73" t="s">
        <v>617</v>
      </c>
      <c r="F935" s="72" t="s">
        <v>834</v>
      </c>
      <c r="G935" s="74" t="n">
        <v>887</v>
      </c>
      <c r="H935" s="75" t="s">
        <v>2336</v>
      </c>
      <c r="I935" s="72" t="s">
        <v>166</v>
      </c>
    </row>
    <row r="936" customFormat="false" ht="15" hidden="false" customHeight="false" outlineLevel="0" collapsed="false">
      <c r="A936" s="72" t="n">
        <v>932</v>
      </c>
      <c r="B936" s="72" t="s">
        <v>2337</v>
      </c>
      <c r="C936" s="72" t="s">
        <v>186</v>
      </c>
      <c r="D936" s="73" t="s">
        <v>2310</v>
      </c>
      <c r="E936" s="73" t="s">
        <v>617</v>
      </c>
      <c r="F936" s="72" t="s">
        <v>834</v>
      </c>
      <c r="G936" s="74" t="n">
        <v>6174</v>
      </c>
      <c r="H936" s="75" t="s">
        <v>2338</v>
      </c>
      <c r="I936" s="72" t="s">
        <v>166</v>
      </c>
    </row>
    <row r="937" customFormat="false" ht="15" hidden="false" customHeight="false" outlineLevel="0" collapsed="false">
      <c r="A937" s="72" t="n">
        <v>933</v>
      </c>
      <c r="B937" s="72" t="s">
        <v>2339</v>
      </c>
      <c r="C937" s="72" t="s">
        <v>186</v>
      </c>
      <c r="D937" s="73" t="s">
        <v>2310</v>
      </c>
      <c r="E937" s="73" t="s">
        <v>617</v>
      </c>
      <c r="F937" s="72" t="s">
        <v>834</v>
      </c>
      <c r="G937" s="74" t="n">
        <v>861</v>
      </c>
      <c r="H937" s="75" t="s">
        <v>2340</v>
      </c>
      <c r="I937" s="72" t="s">
        <v>166</v>
      </c>
    </row>
    <row r="938" customFormat="false" ht="15" hidden="false" customHeight="false" outlineLevel="0" collapsed="false">
      <c r="A938" s="72" t="n">
        <v>934</v>
      </c>
      <c r="B938" s="72" t="s">
        <v>2341</v>
      </c>
      <c r="C938" s="72" t="s">
        <v>186</v>
      </c>
      <c r="D938" s="73" t="s">
        <v>2310</v>
      </c>
      <c r="E938" s="73" t="s">
        <v>866</v>
      </c>
      <c r="F938" s="72" t="s">
        <v>867</v>
      </c>
      <c r="G938" s="74" t="n">
        <v>17334</v>
      </c>
      <c r="H938" s="75" t="s">
        <v>2342</v>
      </c>
      <c r="I938" s="72" t="s">
        <v>166</v>
      </c>
    </row>
    <row r="939" customFormat="false" ht="15" hidden="false" customHeight="false" outlineLevel="0" collapsed="false">
      <c r="A939" s="72" t="n">
        <v>935</v>
      </c>
      <c r="B939" s="72" t="s">
        <v>2343</v>
      </c>
      <c r="C939" s="72" t="s">
        <v>186</v>
      </c>
      <c r="D939" s="73" t="s">
        <v>2310</v>
      </c>
      <c r="E939" s="73" t="s">
        <v>617</v>
      </c>
      <c r="F939" s="72" t="s">
        <v>834</v>
      </c>
      <c r="G939" s="74" t="n">
        <v>785</v>
      </c>
      <c r="H939" s="75" t="s">
        <v>2344</v>
      </c>
      <c r="I939" s="72" t="s">
        <v>166</v>
      </c>
    </row>
    <row r="940" customFormat="false" ht="15" hidden="false" customHeight="false" outlineLevel="0" collapsed="false">
      <c r="A940" s="72" t="n">
        <v>936</v>
      </c>
      <c r="B940" s="72" t="s">
        <v>2345</v>
      </c>
      <c r="C940" s="72" t="s">
        <v>180</v>
      </c>
      <c r="D940" s="73" t="s">
        <v>2346</v>
      </c>
      <c r="E940" s="73" t="s">
        <v>569</v>
      </c>
      <c r="F940" s="72" t="s">
        <v>2347</v>
      </c>
      <c r="G940" s="74" t="n">
        <v>3847</v>
      </c>
      <c r="H940" s="75" t="s">
        <v>2348</v>
      </c>
      <c r="I940" s="72" t="s">
        <v>166</v>
      </c>
    </row>
    <row r="941" customFormat="false" ht="15" hidden="false" customHeight="false" outlineLevel="0" collapsed="false">
      <c r="A941" s="72" t="n">
        <v>937</v>
      </c>
      <c r="B941" s="72" t="s">
        <v>2349</v>
      </c>
      <c r="C941" s="72" t="s">
        <v>180</v>
      </c>
      <c r="D941" s="73" t="s">
        <v>2346</v>
      </c>
      <c r="E941" s="73" t="s">
        <v>569</v>
      </c>
      <c r="F941" s="72" t="s">
        <v>2347</v>
      </c>
      <c r="G941" s="74" t="n">
        <v>2310</v>
      </c>
      <c r="H941" s="75" t="s">
        <v>2350</v>
      </c>
      <c r="I941" s="72" t="s">
        <v>166</v>
      </c>
    </row>
    <row r="942" customFormat="false" ht="15" hidden="false" customHeight="false" outlineLevel="0" collapsed="false">
      <c r="A942" s="72" t="n">
        <v>938</v>
      </c>
      <c r="B942" s="72" t="s">
        <v>2351</v>
      </c>
      <c r="C942" s="72" t="s">
        <v>180</v>
      </c>
      <c r="D942" s="73" t="s">
        <v>2346</v>
      </c>
      <c r="E942" s="73" t="s">
        <v>569</v>
      </c>
      <c r="F942" s="72" t="s">
        <v>2347</v>
      </c>
      <c r="G942" s="74" t="n">
        <v>2180</v>
      </c>
      <c r="H942" s="75" t="s">
        <v>2352</v>
      </c>
      <c r="I942" s="72" t="s">
        <v>166</v>
      </c>
    </row>
    <row r="943" customFormat="false" ht="15" hidden="false" customHeight="false" outlineLevel="0" collapsed="false">
      <c r="A943" s="72" t="n">
        <v>939</v>
      </c>
      <c r="B943" s="72" t="s">
        <v>2353</v>
      </c>
      <c r="C943" s="72" t="s">
        <v>180</v>
      </c>
      <c r="D943" s="73" t="s">
        <v>2346</v>
      </c>
      <c r="E943" s="73" t="s">
        <v>569</v>
      </c>
      <c r="F943" s="72" t="s">
        <v>2347</v>
      </c>
      <c r="G943" s="74" t="n">
        <v>1324</v>
      </c>
      <c r="H943" s="75" t="s">
        <v>2354</v>
      </c>
      <c r="I943" s="72" t="s">
        <v>166</v>
      </c>
    </row>
    <row r="944" customFormat="false" ht="15" hidden="false" customHeight="false" outlineLevel="0" collapsed="false">
      <c r="A944" s="72" t="n">
        <v>940</v>
      </c>
      <c r="B944" s="72" t="s">
        <v>2355</v>
      </c>
      <c r="C944" s="72" t="s">
        <v>180</v>
      </c>
      <c r="D944" s="73" t="s">
        <v>2346</v>
      </c>
      <c r="E944" s="73" t="s">
        <v>569</v>
      </c>
      <c r="F944" s="72" t="s">
        <v>2347</v>
      </c>
      <c r="G944" s="74" t="n">
        <v>1496</v>
      </c>
      <c r="H944" s="75" t="s">
        <v>2356</v>
      </c>
      <c r="I944" s="72" t="s">
        <v>166</v>
      </c>
    </row>
    <row r="945" customFormat="false" ht="15" hidden="false" customHeight="false" outlineLevel="0" collapsed="false">
      <c r="A945" s="72" t="n">
        <v>941</v>
      </c>
      <c r="B945" s="72" t="s">
        <v>2357</v>
      </c>
      <c r="C945" s="72" t="s">
        <v>180</v>
      </c>
      <c r="D945" s="73" t="s">
        <v>2346</v>
      </c>
      <c r="E945" s="73" t="s">
        <v>569</v>
      </c>
      <c r="F945" s="72" t="s">
        <v>2347</v>
      </c>
      <c r="G945" s="74" t="n">
        <v>4050</v>
      </c>
      <c r="H945" s="75" t="s">
        <v>2358</v>
      </c>
      <c r="I945" s="72" t="s">
        <v>166</v>
      </c>
    </row>
    <row r="946" customFormat="false" ht="15" hidden="false" customHeight="false" outlineLevel="0" collapsed="false">
      <c r="A946" s="72" t="n">
        <v>942</v>
      </c>
      <c r="B946" s="72" t="s">
        <v>2359</v>
      </c>
      <c r="C946" s="72" t="s">
        <v>180</v>
      </c>
      <c r="D946" s="73" t="s">
        <v>2346</v>
      </c>
      <c r="E946" s="73" t="s">
        <v>569</v>
      </c>
      <c r="F946" s="72" t="s">
        <v>2347</v>
      </c>
      <c r="G946" s="74" t="n">
        <v>1010</v>
      </c>
      <c r="H946" s="75" t="s">
        <v>2360</v>
      </c>
      <c r="I946" s="72" t="s">
        <v>166</v>
      </c>
    </row>
    <row r="947" customFormat="false" ht="15" hidden="false" customHeight="false" outlineLevel="0" collapsed="false">
      <c r="A947" s="72" t="n">
        <v>943</v>
      </c>
      <c r="B947" s="72" t="s">
        <v>2361</v>
      </c>
      <c r="C947" s="72" t="s">
        <v>180</v>
      </c>
      <c r="D947" s="73" t="s">
        <v>2346</v>
      </c>
      <c r="E947" s="73" t="s">
        <v>569</v>
      </c>
      <c r="F947" s="72" t="s">
        <v>2347</v>
      </c>
      <c r="G947" s="74" t="n">
        <v>1357</v>
      </c>
      <c r="H947" s="75" t="s">
        <v>2362</v>
      </c>
      <c r="I947" s="72" t="s">
        <v>166</v>
      </c>
    </row>
    <row r="948" customFormat="false" ht="15" hidden="false" customHeight="false" outlineLevel="0" collapsed="false">
      <c r="A948" s="72" t="n">
        <v>944</v>
      </c>
      <c r="B948" s="72" t="s">
        <v>2363</v>
      </c>
      <c r="C948" s="72" t="s">
        <v>180</v>
      </c>
      <c r="D948" s="73" t="s">
        <v>2346</v>
      </c>
      <c r="E948" s="73" t="s">
        <v>569</v>
      </c>
      <c r="F948" s="72" t="s">
        <v>2347</v>
      </c>
      <c r="G948" s="74" t="n">
        <v>1296</v>
      </c>
      <c r="H948" s="75" t="s">
        <v>2364</v>
      </c>
      <c r="I948" s="72" t="s">
        <v>166</v>
      </c>
    </row>
    <row r="949" customFormat="false" ht="15" hidden="false" customHeight="false" outlineLevel="0" collapsed="false">
      <c r="A949" s="72" t="n">
        <v>945</v>
      </c>
      <c r="B949" s="72" t="s">
        <v>2365</v>
      </c>
      <c r="C949" s="72" t="s">
        <v>180</v>
      </c>
      <c r="D949" s="73" t="s">
        <v>2346</v>
      </c>
      <c r="E949" s="73" t="s">
        <v>569</v>
      </c>
      <c r="F949" s="72" t="s">
        <v>2347</v>
      </c>
      <c r="G949" s="74" t="n">
        <v>880</v>
      </c>
      <c r="H949" s="75" t="s">
        <v>2366</v>
      </c>
      <c r="I949" s="72" t="s">
        <v>166</v>
      </c>
    </row>
    <row r="950" customFormat="false" ht="15" hidden="false" customHeight="false" outlineLevel="0" collapsed="false">
      <c r="A950" s="72" t="n">
        <v>946</v>
      </c>
      <c r="B950" s="72" t="s">
        <v>2367</v>
      </c>
      <c r="C950" s="72" t="s">
        <v>180</v>
      </c>
      <c r="D950" s="73" t="s">
        <v>2346</v>
      </c>
      <c r="E950" s="73" t="s">
        <v>569</v>
      </c>
      <c r="F950" s="72" t="s">
        <v>2347</v>
      </c>
      <c r="G950" s="74" t="n">
        <v>860</v>
      </c>
      <c r="H950" s="75" t="s">
        <v>2368</v>
      </c>
      <c r="I950" s="72" t="s">
        <v>166</v>
      </c>
    </row>
    <row r="951" customFormat="false" ht="15" hidden="false" customHeight="false" outlineLevel="0" collapsed="false">
      <c r="A951" s="72" t="n">
        <v>947</v>
      </c>
      <c r="B951" s="72" t="s">
        <v>2369</v>
      </c>
      <c r="C951" s="72" t="s">
        <v>180</v>
      </c>
      <c r="D951" s="73" t="s">
        <v>2346</v>
      </c>
      <c r="E951" s="73" t="s">
        <v>569</v>
      </c>
      <c r="F951" s="72" t="s">
        <v>2347</v>
      </c>
      <c r="G951" s="74" t="n">
        <v>755</v>
      </c>
      <c r="H951" s="75" t="s">
        <v>2370</v>
      </c>
      <c r="I951" s="72" t="s">
        <v>166</v>
      </c>
    </row>
    <row r="952" customFormat="false" ht="15" hidden="false" customHeight="false" outlineLevel="0" collapsed="false">
      <c r="A952" s="72" t="n">
        <v>948</v>
      </c>
      <c r="B952" s="72" t="s">
        <v>2371</v>
      </c>
      <c r="C952" s="72" t="s">
        <v>180</v>
      </c>
      <c r="D952" s="73" t="s">
        <v>2346</v>
      </c>
      <c r="E952" s="73" t="s">
        <v>569</v>
      </c>
      <c r="F952" s="72" t="s">
        <v>2347</v>
      </c>
      <c r="G952" s="74" t="n">
        <v>1033</v>
      </c>
      <c r="H952" s="75" t="s">
        <v>2372</v>
      </c>
      <c r="I952" s="72" t="s">
        <v>166</v>
      </c>
    </row>
    <row r="953" customFormat="false" ht="15" hidden="false" customHeight="false" outlineLevel="0" collapsed="false">
      <c r="A953" s="72" t="n">
        <v>949</v>
      </c>
      <c r="B953" s="72" t="s">
        <v>2373</v>
      </c>
      <c r="C953" s="72" t="s">
        <v>180</v>
      </c>
      <c r="D953" s="73" t="s">
        <v>2346</v>
      </c>
      <c r="E953" s="73" t="s">
        <v>569</v>
      </c>
      <c r="F953" s="72" t="s">
        <v>2347</v>
      </c>
      <c r="G953" s="74" t="n">
        <v>693</v>
      </c>
      <c r="H953" s="75" t="s">
        <v>2374</v>
      </c>
      <c r="I953" s="72" t="s">
        <v>166</v>
      </c>
    </row>
    <row r="954" customFormat="false" ht="15" hidden="false" customHeight="false" outlineLevel="0" collapsed="false">
      <c r="A954" s="72" t="n">
        <v>950</v>
      </c>
      <c r="B954" s="72" t="s">
        <v>2375</v>
      </c>
      <c r="C954" s="72" t="s">
        <v>180</v>
      </c>
      <c r="D954" s="73" t="s">
        <v>2346</v>
      </c>
      <c r="E954" s="73" t="s">
        <v>569</v>
      </c>
      <c r="F954" s="72" t="s">
        <v>2347</v>
      </c>
      <c r="G954" s="74" t="n">
        <v>1315</v>
      </c>
      <c r="H954" s="75" t="s">
        <v>2376</v>
      </c>
      <c r="I954" s="72" t="s">
        <v>166</v>
      </c>
    </row>
    <row r="955" customFormat="false" ht="15" hidden="false" customHeight="false" outlineLevel="0" collapsed="false">
      <c r="A955" s="72" t="n">
        <v>951</v>
      </c>
      <c r="B955" s="72" t="s">
        <v>2377</v>
      </c>
      <c r="C955" s="72" t="s">
        <v>180</v>
      </c>
      <c r="D955" s="73" t="s">
        <v>2346</v>
      </c>
      <c r="E955" s="73" t="s">
        <v>569</v>
      </c>
      <c r="F955" s="72" t="s">
        <v>2347</v>
      </c>
      <c r="G955" s="74" t="n">
        <v>2072</v>
      </c>
      <c r="H955" s="75" t="s">
        <v>2378</v>
      </c>
      <c r="I955" s="72" t="s">
        <v>166</v>
      </c>
    </row>
    <row r="956" customFormat="false" ht="15" hidden="false" customHeight="false" outlineLevel="0" collapsed="false">
      <c r="A956" s="72" t="n">
        <v>952</v>
      </c>
      <c r="B956" s="72" t="s">
        <v>2379</v>
      </c>
      <c r="C956" s="72" t="s">
        <v>180</v>
      </c>
      <c r="D956" s="73" t="s">
        <v>2346</v>
      </c>
      <c r="E956" s="73" t="s">
        <v>569</v>
      </c>
      <c r="F956" s="72" t="s">
        <v>2347</v>
      </c>
      <c r="G956" s="74" t="n">
        <v>1114</v>
      </c>
      <c r="H956" s="75" t="s">
        <v>2380</v>
      </c>
      <c r="I956" s="72" t="s">
        <v>166</v>
      </c>
    </row>
    <row r="957" customFormat="false" ht="15" hidden="false" customHeight="false" outlineLevel="0" collapsed="false">
      <c r="A957" s="72" t="n">
        <v>953</v>
      </c>
      <c r="B957" s="72" t="s">
        <v>2381</v>
      </c>
      <c r="C957" s="72" t="s">
        <v>180</v>
      </c>
      <c r="D957" s="73" t="s">
        <v>2346</v>
      </c>
      <c r="E957" s="73" t="s">
        <v>569</v>
      </c>
      <c r="F957" s="72" t="s">
        <v>2347</v>
      </c>
      <c r="G957" s="74" t="n">
        <v>425</v>
      </c>
      <c r="H957" s="75" t="s">
        <v>2382</v>
      </c>
      <c r="I957" s="72" t="s">
        <v>166</v>
      </c>
    </row>
    <row r="958" customFormat="false" ht="15" hidden="false" customHeight="false" outlineLevel="0" collapsed="false">
      <c r="A958" s="72" t="n">
        <v>954</v>
      </c>
      <c r="B958" s="72" t="s">
        <v>2383</v>
      </c>
      <c r="C958" s="72" t="s">
        <v>180</v>
      </c>
      <c r="D958" s="73" t="s">
        <v>2346</v>
      </c>
      <c r="E958" s="73" t="s">
        <v>569</v>
      </c>
      <c r="F958" s="72" t="s">
        <v>2347</v>
      </c>
      <c r="G958" s="74" t="n">
        <v>1188</v>
      </c>
      <c r="H958" s="75" t="s">
        <v>2384</v>
      </c>
      <c r="I958" s="72" t="s">
        <v>166</v>
      </c>
    </row>
    <row r="959" customFormat="false" ht="15" hidden="false" customHeight="false" outlineLevel="0" collapsed="false">
      <c r="A959" s="72" t="n">
        <v>955</v>
      </c>
      <c r="B959" s="72" t="s">
        <v>2385</v>
      </c>
      <c r="C959" s="72" t="s">
        <v>180</v>
      </c>
      <c r="D959" s="73" t="s">
        <v>2346</v>
      </c>
      <c r="E959" s="73" t="s">
        <v>569</v>
      </c>
      <c r="F959" s="72" t="s">
        <v>2347</v>
      </c>
      <c r="G959" s="74" t="n">
        <v>936</v>
      </c>
      <c r="H959" s="75" t="s">
        <v>2386</v>
      </c>
      <c r="I959" s="72" t="s">
        <v>166</v>
      </c>
    </row>
    <row r="960" customFormat="false" ht="15" hidden="false" customHeight="false" outlineLevel="0" collapsed="false">
      <c r="A960" s="72" t="n">
        <v>956</v>
      </c>
      <c r="B960" s="72" t="s">
        <v>2387</v>
      </c>
      <c r="C960" s="72" t="s">
        <v>180</v>
      </c>
      <c r="D960" s="73" t="s">
        <v>2346</v>
      </c>
      <c r="E960" s="73" t="s">
        <v>569</v>
      </c>
      <c r="F960" s="72" t="s">
        <v>2347</v>
      </c>
      <c r="G960" s="74" t="n">
        <v>1352</v>
      </c>
      <c r="H960" s="75" t="s">
        <v>2388</v>
      </c>
      <c r="I960" s="72" t="s">
        <v>166</v>
      </c>
    </row>
    <row r="961" customFormat="false" ht="15" hidden="false" customHeight="false" outlineLevel="0" collapsed="false">
      <c r="A961" s="72" t="n">
        <v>957</v>
      </c>
      <c r="B961" s="72" t="s">
        <v>2389</v>
      </c>
      <c r="C961" s="72" t="s">
        <v>180</v>
      </c>
      <c r="D961" s="73" t="s">
        <v>2346</v>
      </c>
      <c r="E961" s="73" t="s">
        <v>569</v>
      </c>
      <c r="F961" s="72" t="s">
        <v>2390</v>
      </c>
      <c r="G961" s="74" t="n">
        <v>4258</v>
      </c>
      <c r="H961" s="75" t="s">
        <v>2391</v>
      </c>
      <c r="I961" s="72" t="s">
        <v>166</v>
      </c>
    </row>
    <row r="962" customFormat="false" ht="15" hidden="false" customHeight="false" outlineLevel="0" collapsed="false">
      <c r="A962" s="72" t="n">
        <v>958</v>
      </c>
      <c r="B962" s="72" t="s">
        <v>2392</v>
      </c>
      <c r="C962" s="72" t="s">
        <v>180</v>
      </c>
      <c r="D962" s="73" t="s">
        <v>2346</v>
      </c>
      <c r="E962" s="73" t="s">
        <v>569</v>
      </c>
      <c r="F962" s="72" t="s">
        <v>2390</v>
      </c>
      <c r="G962" s="74" t="n">
        <v>3455</v>
      </c>
      <c r="H962" s="75" t="s">
        <v>2393</v>
      </c>
      <c r="I962" s="72" t="s">
        <v>166</v>
      </c>
    </row>
    <row r="963" customFormat="false" ht="15" hidden="false" customHeight="false" outlineLevel="0" collapsed="false">
      <c r="A963" s="72" t="n">
        <v>959</v>
      </c>
      <c r="B963" s="72" t="s">
        <v>2394</v>
      </c>
      <c r="C963" s="72" t="s">
        <v>180</v>
      </c>
      <c r="D963" s="73" t="s">
        <v>2346</v>
      </c>
      <c r="E963" s="73" t="s">
        <v>569</v>
      </c>
      <c r="F963" s="72" t="s">
        <v>2390</v>
      </c>
      <c r="G963" s="74" t="n">
        <v>10015</v>
      </c>
      <c r="H963" s="75" t="s">
        <v>2395</v>
      </c>
      <c r="I963" s="72" t="s">
        <v>166</v>
      </c>
    </row>
    <row r="964" customFormat="false" ht="15" hidden="false" customHeight="false" outlineLevel="0" collapsed="false">
      <c r="A964" s="72" t="n">
        <v>960</v>
      </c>
      <c r="B964" s="72" t="s">
        <v>2396</v>
      </c>
      <c r="C964" s="72" t="s">
        <v>180</v>
      </c>
      <c r="D964" s="73" t="s">
        <v>2346</v>
      </c>
      <c r="E964" s="73" t="s">
        <v>569</v>
      </c>
      <c r="F964" s="72" t="s">
        <v>2390</v>
      </c>
      <c r="G964" s="74" t="n">
        <v>1309</v>
      </c>
      <c r="H964" s="75" t="s">
        <v>2397</v>
      </c>
      <c r="I964" s="72" t="s">
        <v>166</v>
      </c>
    </row>
    <row r="965" customFormat="false" ht="15" hidden="false" customHeight="false" outlineLevel="0" collapsed="false">
      <c r="A965" s="72" t="n">
        <v>961</v>
      </c>
      <c r="B965" s="72" t="s">
        <v>2398</v>
      </c>
      <c r="C965" s="72" t="s">
        <v>180</v>
      </c>
      <c r="D965" s="73" t="s">
        <v>2346</v>
      </c>
      <c r="E965" s="73" t="s">
        <v>1112</v>
      </c>
      <c r="F965" s="72" t="s">
        <v>1113</v>
      </c>
      <c r="G965" s="74" t="n">
        <v>4490</v>
      </c>
      <c r="H965" s="75" t="s">
        <v>2399</v>
      </c>
      <c r="I965" s="72" t="s">
        <v>166</v>
      </c>
    </row>
    <row r="966" customFormat="false" ht="15" hidden="false" customHeight="false" outlineLevel="0" collapsed="false">
      <c r="A966" s="72" t="n">
        <v>962</v>
      </c>
      <c r="B966" s="72" t="s">
        <v>2400</v>
      </c>
      <c r="C966" s="72" t="s">
        <v>180</v>
      </c>
      <c r="D966" s="73" t="s">
        <v>2346</v>
      </c>
      <c r="E966" s="73" t="s">
        <v>1112</v>
      </c>
      <c r="F966" s="72" t="s">
        <v>1113</v>
      </c>
      <c r="G966" s="74" t="n">
        <v>5031</v>
      </c>
      <c r="H966" s="75" t="s">
        <v>2401</v>
      </c>
      <c r="I966" s="72" t="s">
        <v>166</v>
      </c>
    </row>
    <row r="967" customFormat="false" ht="15" hidden="false" customHeight="false" outlineLevel="0" collapsed="false">
      <c r="A967" s="72" t="n">
        <v>963</v>
      </c>
      <c r="B967" s="72" t="s">
        <v>2402</v>
      </c>
      <c r="C967" s="72" t="s">
        <v>180</v>
      </c>
      <c r="D967" s="73" t="s">
        <v>2346</v>
      </c>
      <c r="E967" s="73" t="s">
        <v>1112</v>
      </c>
      <c r="F967" s="72" t="s">
        <v>1113</v>
      </c>
      <c r="G967" s="74" t="n">
        <v>4349</v>
      </c>
      <c r="H967" s="75" t="s">
        <v>2403</v>
      </c>
      <c r="I967" s="72" t="s">
        <v>166</v>
      </c>
    </row>
    <row r="968" customFormat="false" ht="15" hidden="false" customHeight="false" outlineLevel="0" collapsed="false">
      <c r="A968" s="72" t="n">
        <v>964</v>
      </c>
      <c r="B968" s="72" t="s">
        <v>2404</v>
      </c>
      <c r="C968" s="72" t="s">
        <v>180</v>
      </c>
      <c r="D968" s="73" t="s">
        <v>2346</v>
      </c>
      <c r="E968" s="73" t="s">
        <v>569</v>
      </c>
      <c r="F968" s="72" t="s">
        <v>2390</v>
      </c>
      <c r="G968" s="74" t="n">
        <v>1246</v>
      </c>
      <c r="H968" s="75" t="s">
        <v>2405</v>
      </c>
      <c r="I968" s="72" t="s">
        <v>166</v>
      </c>
    </row>
    <row r="969" customFormat="false" ht="15" hidden="false" customHeight="false" outlineLevel="0" collapsed="false">
      <c r="A969" s="72" t="n">
        <v>965</v>
      </c>
      <c r="B969" s="72" t="s">
        <v>2406</v>
      </c>
      <c r="C969" s="72" t="s">
        <v>180</v>
      </c>
      <c r="D969" s="73" t="s">
        <v>2346</v>
      </c>
      <c r="E969" s="73" t="s">
        <v>569</v>
      </c>
      <c r="F969" s="72" t="s">
        <v>2390</v>
      </c>
      <c r="G969" s="74" t="n">
        <v>1320</v>
      </c>
      <c r="H969" s="75" t="s">
        <v>2407</v>
      </c>
      <c r="I969" s="72" t="s">
        <v>166</v>
      </c>
    </row>
    <row r="970" customFormat="false" ht="15" hidden="false" customHeight="false" outlineLevel="0" collapsed="false">
      <c r="A970" s="72" t="n">
        <v>966</v>
      </c>
      <c r="B970" s="72" t="s">
        <v>2408</v>
      </c>
      <c r="C970" s="72" t="s">
        <v>180</v>
      </c>
      <c r="D970" s="73" t="s">
        <v>2346</v>
      </c>
      <c r="E970" s="73" t="s">
        <v>569</v>
      </c>
      <c r="F970" s="72" t="s">
        <v>2347</v>
      </c>
      <c r="G970" s="74" t="n">
        <v>2530</v>
      </c>
      <c r="H970" s="75" t="s">
        <v>2409</v>
      </c>
      <c r="I970" s="72" t="s">
        <v>166</v>
      </c>
    </row>
    <row r="971" customFormat="false" ht="15" hidden="false" customHeight="false" outlineLevel="0" collapsed="false">
      <c r="A971" s="72" t="n">
        <v>967</v>
      </c>
      <c r="B971" s="72" t="s">
        <v>2410</v>
      </c>
      <c r="C971" s="72" t="s">
        <v>180</v>
      </c>
      <c r="D971" s="73" t="s">
        <v>2346</v>
      </c>
      <c r="E971" s="73" t="s">
        <v>569</v>
      </c>
      <c r="F971" s="72" t="s">
        <v>2347</v>
      </c>
      <c r="G971" s="74" t="n">
        <v>4003</v>
      </c>
      <c r="H971" s="75" t="s">
        <v>2411</v>
      </c>
      <c r="I971" s="72" t="s">
        <v>166</v>
      </c>
    </row>
    <row r="972" customFormat="false" ht="15" hidden="false" customHeight="false" outlineLevel="0" collapsed="false">
      <c r="A972" s="72" t="n">
        <v>968</v>
      </c>
      <c r="B972" s="72" t="s">
        <v>2412</v>
      </c>
      <c r="C972" s="72" t="s">
        <v>180</v>
      </c>
      <c r="D972" s="73" t="s">
        <v>2346</v>
      </c>
      <c r="E972" s="73" t="s">
        <v>569</v>
      </c>
      <c r="F972" s="72" t="s">
        <v>2347</v>
      </c>
      <c r="G972" s="74" t="n">
        <v>2793</v>
      </c>
      <c r="H972" s="75" t="s">
        <v>2413</v>
      </c>
      <c r="I972" s="72" t="s">
        <v>166</v>
      </c>
    </row>
    <row r="973" customFormat="false" ht="15" hidden="false" customHeight="false" outlineLevel="0" collapsed="false">
      <c r="A973" s="72" t="n">
        <v>969</v>
      </c>
      <c r="B973" s="72" t="s">
        <v>2414</v>
      </c>
      <c r="C973" s="72" t="s">
        <v>180</v>
      </c>
      <c r="D973" s="73" t="s">
        <v>2346</v>
      </c>
      <c r="E973" s="73" t="s">
        <v>569</v>
      </c>
      <c r="F973" s="72" t="s">
        <v>2347</v>
      </c>
      <c r="G973" s="74" t="n">
        <v>4982</v>
      </c>
      <c r="H973" s="75" t="s">
        <v>2415</v>
      </c>
      <c r="I973" s="72" t="s">
        <v>166</v>
      </c>
    </row>
    <row r="974" customFormat="false" ht="15" hidden="false" customHeight="false" outlineLevel="0" collapsed="false">
      <c r="A974" s="72" t="n">
        <v>970</v>
      </c>
      <c r="B974" s="72" t="s">
        <v>2416</v>
      </c>
      <c r="C974" s="72" t="s">
        <v>180</v>
      </c>
      <c r="D974" s="73" t="s">
        <v>2346</v>
      </c>
      <c r="E974" s="73" t="s">
        <v>569</v>
      </c>
      <c r="F974" s="72" t="s">
        <v>2347</v>
      </c>
      <c r="G974" s="74" t="n">
        <v>4285</v>
      </c>
      <c r="H974" s="75" t="s">
        <v>2417</v>
      </c>
      <c r="I974" s="72" t="s">
        <v>166</v>
      </c>
    </row>
    <row r="975" customFormat="false" ht="15" hidden="false" customHeight="false" outlineLevel="0" collapsed="false">
      <c r="A975" s="72" t="n">
        <v>971</v>
      </c>
      <c r="B975" s="72" t="s">
        <v>2418</v>
      </c>
      <c r="C975" s="72" t="s">
        <v>180</v>
      </c>
      <c r="D975" s="73" t="s">
        <v>2346</v>
      </c>
      <c r="E975" s="73" t="s">
        <v>569</v>
      </c>
      <c r="F975" s="72" t="s">
        <v>2347</v>
      </c>
      <c r="G975" s="74" t="n">
        <v>3377</v>
      </c>
      <c r="H975" s="75" t="s">
        <v>2419</v>
      </c>
      <c r="I975" s="72" t="s">
        <v>166</v>
      </c>
    </row>
    <row r="976" customFormat="false" ht="15" hidden="false" customHeight="false" outlineLevel="0" collapsed="false">
      <c r="A976" s="72" t="n">
        <v>972</v>
      </c>
      <c r="B976" s="72" t="s">
        <v>2420</v>
      </c>
      <c r="C976" s="72" t="s">
        <v>180</v>
      </c>
      <c r="D976" s="73" t="s">
        <v>2346</v>
      </c>
      <c r="E976" s="73" t="s">
        <v>569</v>
      </c>
      <c r="F976" s="72" t="s">
        <v>2347</v>
      </c>
      <c r="G976" s="74" t="n">
        <v>2681</v>
      </c>
      <c r="H976" s="75" t="s">
        <v>2421</v>
      </c>
      <c r="I976" s="72" t="s">
        <v>166</v>
      </c>
    </row>
    <row r="977" customFormat="false" ht="15" hidden="false" customHeight="false" outlineLevel="0" collapsed="false">
      <c r="A977" s="72" t="n">
        <v>973</v>
      </c>
      <c r="B977" s="72" t="s">
        <v>2422</v>
      </c>
      <c r="C977" s="72" t="s">
        <v>180</v>
      </c>
      <c r="D977" s="73" t="s">
        <v>2346</v>
      </c>
      <c r="E977" s="73" t="s">
        <v>569</v>
      </c>
      <c r="F977" s="72" t="s">
        <v>2347</v>
      </c>
      <c r="G977" s="74" t="n">
        <v>2362</v>
      </c>
      <c r="H977" s="75" t="s">
        <v>2423</v>
      </c>
      <c r="I977" s="72" t="s">
        <v>166</v>
      </c>
    </row>
    <row r="978" customFormat="false" ht="15" hidden="false" customHeight="false" outlineLevel="0" collapsed="false">
      <c r="A978" s="72" t="n">
        <v>974</v>
      </c>
      <c r="B978" s="72" t="s">
        <v>2424</v>
      </c>
      <c r="C978" s="72" t="s">
        <v>180</v>
      </c>
      <c r="D978" s="73" t="s">
        <v>2346</v>
      </c>
      <c r="E978" s="73" t="s">
        <v>569</v>
      </c>
      <c r="F978" s="72" t="s">
        <v>2347</v>
      </c>
      <c r="G978" s="74" t="n">
        <v>10283</v>
      </c>
      <c r="H978" s="75" t="s">
        <v>2425</v>
      </c>
      <c r="I978" s="72" t="s">
        <v>166</v>
      </c>
    </row>
    <row r="979" customFormat="false" ht="15" hidden="false" customHeight="false" outlineLevel="0" collapsed="false">
      <c r="A979" s="72" t="n">
        <v>975</v>
      </c>
      <c r="B979" s="72" t="s">
        <v>2426</v>
      </c>
      <c r="C979" s="72" t="s">
        <v>180</v>
      </c>
      <c r="D979" s="73" t="s">
        <v>2346</v>
      </c>
      <c r="E979" s="73" t="s">
        <v>569</v>
      </c>
      <c r="F979" s="72" t="s">
        <v>2347</v>
      </c>
      <c r="G979" s="74" t="n">
        <v>1762</v>
      </c>
      <c r="H979" s="75" t="s">
        <v>2427</v>
      </c>
      <c r="I979" s="72" t="s">
        <v>166</v>
      </c>
    </row>
    <row r="980" customFormat="false" ht="15" hidden="false" customHeight="false" outlineLevel="0" collapsed="false">
      <c r="A980" s="72" t="n">
        <v>976</v>
      </c>
      <c r="B980" s="72" t="s">
        <v>2428</v>
      </c>
      <c r="C980" s="72" t="s">
        <v>180</v>
      </c>
      <c r="D980" s="73" t="s">
        <v>2346</v>
      </c>
      <c r="E980" s="73" t="s">
        <v>569</v>
      </c>
      <c r="F980" s="72" t="s">
        <v>2347</v>
      </c>
      <c r="G980" s="74" t="n">
        <v>7654</v>
      </c>
      <c r="H980" s="75" t="s">
        <v>2429</v>
      </c>
      <c r="I980" s="72" t="s">
        <v>166</v>
      </c>
    </row>
    <row r="981" customFormat="false" ht="15" hidden="false" customHeight="false" outlineLevel="0" collapsed="false">
      <c r="A981" s="72" t="n">
        <v>977</v>
      </c>
      <c r="B981" s="72" t="s">
        <v>2430</v>
      </c>
      <c r="C981" s="72" t="s">
        <v>180</v>
      </c>
      <c r="D981" s="73" t="s">
        <v>2346</v>
      </c>
      <c r="E981" s="73" t="s">
        <v>866</v>
      </c>
      <c r="F981" s="72" t="s">
        <v>867</v>
      </c>
      <c r="G981" s="74" t="n">
        <v>4766</v>
      </c>
      <c r="H981" s="75" t="s">
        <v>2431</v>
      </c>
      <c r="I981" s="72" t="s">
        <v>166</v>
      </c>
    </row>
    <row r="982" customFormat="false" ht="15" hidden="false" customHeight="false" outlineLevel="0" collapsed="false">
      <c r="A982" s="72" t="n">
        <v>978</v>
      </c>
      <c r="B982" s="72" t="s">
        <v>2432</v>
      </c>
      <c r="C982" s="72" t="s">
        <v>180</v>
      </c>
      <c r="D982" s="73" t="s">
        <v>2346</v>
      </c>
      <c r="E982" s="73" t="s">
        <v>866</v>
      </c>
      <c r="F982" s="72" t="s">
        <v>867</v>
      </c>
      <c r="G982" s="74" t="n">
        <v>6805</v>
      </c>
      <c r="H982" s="75" t="s">
        <v>2433</v>
      </c>
      <c r="I982" s="72" t="s">
        <v>166</v>
      </c>
    </row>
    <row r="983" customFormat="false" ht="15" hidden="false" customHeight="false" outlineLevel="0" collapsed="false">
      <c r="A983" s="72" t="n">
        <v>979</v>
      </c>
      <c r="B983" s="72" t="s">
        <v>2434</v>
      </c>
      <c r="C983" s="72" t="s">
        <v>180</v>
      </c>
      <c r="D983" s="73" t="s">
        <v>2346</v>
      </c>
      <c r="E983" s="73" t="s">
        <v>569</v>
      </c>
      <c r="F983" s="72" t="s">
        <v>2390</v>
      </c>
      <c r="G983" s="74" t="n">
        <v>990</v>
      </c>
      <c r="H983" s="75" t="s">
        <v>2435</v>
      </c>
      <c r="I983" s="72" t="s">
        <v>166</v>
      </c>
    </row>
    <row r="984" customFormat="false" ht="15" hidden="false" customHeight="false" outlineLevel="0" collapsed="false">
      <c r="A984" s="72" t="n">
        <v>980</v>
      </c>
      <c r="B984" s="72" t="s">
        <v>2436</v>
      </c>
      <c r="C984" s="72" t="s">
        <v>180</v>
      </c>
      <c r="D984" s="73" t="s">
        <v>2346</v>
      </c>
      <c r="E984" s="73" t="s">
        <v>569</v>
      </c>
      <c r="F984" s="72" t="s">
        <v>2390</v>
      </c>
      <c r="G984" s="74" t="n">
        <v>669</v>
      </c>
      <c r="H984" s="75" t="s">
        <v>2437</v>
      </c>
      <c r="I984" s="72" t="s">
        <v>166</v>
      </c>
    </row>
    <row r="985" customFormat="false" ht="15" hidden="false" customHeight="false" outlineLevel="0" collapsed="false">
      <c r="A985" s="72" t="n">
        <v>981</v>
      </c>
      <c r="B985" s="72" t="s">
        <v>2438</v>
      </c>
      <c r="C985" s="72" t="s">
        <v>180</v>
      </c>
      <c r="D985" s="73" t="s">
        <v>2346</v>
      </c>
      <c r="E985" s="73" t="s">
        <v>569</v>
      </c>
      <c r="F985" s="72" t="s">
        <v>2390</v>
      </c>
      <c r="G985" s="74" t="n">
        <v>2077</v>
      </c>
      <c r="H985" s="75" t="s">
        <v>2439</v>
      </c>
      <c r="I985" s="72" t="s">
        <v>166</v>
      </c>
    </row>
    <row r="986" customFormat="false" ht="15" hidden="false" customHeight="false" outlineLevel="0" collapsed="false">
      <c r="A986" s="72" t="n">
        <v>982</v>
      </c>
      <c r="B986" s="72" t="s">
        <v>2440</v>
      </c>
      <c r="C986" s="72" t="s">
        <v>180</v>
      </c>
      <c r="D986" s="73" t="s">
        <v>2346</v>
      </c>
      <c r="E986" s="73" t="s">
        <v>569</v>
      </c>
      <c r="F986" s="72" t="s">
        <v>2390</v>
      </c>
      <c r="G986" s="74" t="n">
        <v>2480</v>
      </c>
      <c r="H986" s="75" t="s">
        <v>2441</v>
      </c>
      <c r="I986" s="72" t="s">
        <v>166</v>
      </c>
    </row>
    <row r="987" customFormat="false" ht="15" hidden="false" customHeight="false" outlineLevel="0" collapsed="false">
      <c r="A987" s="72" t="n">
        <v>983</v>
      </c>
      <c r="B987" s="72" t="s">
        <v>2442</v>
      </c>
      <c r="C987" s="72" t="s">
        <v>180</v>
      </c>
      <c r="D987" s="73" t="s">
        <v>2346</v>
      </c>
      <c r="E987" s="73" t="s">
        <v>722</v>
      </c>
      <c r="F987" s="72" t="s">
        <v>843</v>
      </c>
      <c r="G987" s="74" t="n">
        <v>20506</v>
      </c>
      <c r="H987" s="75" t="s">
        <v>870</v>
      </c>
      <c r="I987" s="72" t="s">
        <v>166</v>
      </c>
    </row>
    <row r="988" customFormat="false" ht="15" hidden="false" customHeight="false" outlineLevel="0" collapsed="false">
      <c r="A988" s="72" t="n">
        <v>984</v>
      </c>
      <c r="B988" s="72" t="s">
        <v>2443</v>
      </c>
      <c r="C988" s="72" t="s">
        <v>180</v>
      </c>
      <c r="D988" s="73" t="s">
        <v>2346</v>
      </c>
      <c r="E988" s="73" t="s">
        <v>722</v>
      </c>
      <c r="F988" s="72" t="s">
        <v>843</v>
      </c>
      <c r="G988" s="74" t="n">
        <v>23398</v>
      </c>
      <c r="H988" s="75" t="s">
        <v>872</v>
      </c>
      <c r="I988" s="72" t="s">
        <v>166</v>
      </c>
    </row>
    <row r="989" customFormat="false" ht="15" hidden="false" customHeight="false" outlineLevel="0" collapsed="false">
      <c r="A989" s="72" t="n">
        <v>985</v>
      </c>
      <c r="B989" s="72" t="s">
        <v>2444</v>
      </c>
      <c r="C989" s="72" t="s">
        <v>180</v>
      </c>
      <c r="D989" s="73" t="s">
        <v>2346</v>
      </c>
      <c r="E989" s="73" t="s">
        <v>722</v>
      </c>
      <c r="F989" s="72" t="s">
        <v>843</v>
      </c>
      <c r="G989" s="74" t="n">
        <v>28290</v>
      </c>
      <c r="H989" s="75" t="s">
        <v>874</v>
      </c>
      <c r="I989" s="72" t="s">
        <v>166</v>
      </c>
    </row>
    <row r="990" customFormat="false" ht="15" hidden="false" customHeight="false" outlineLevel="0" collapsed="false">
      <c r="A990" s="72" t="n">
        <v>986</v>
      </c>
      <c r="B990" s="72" t="s">
        <v>2445</v>
      </c>
      <c r="C990" s="72" t="s">
        <v>180</v>
      </c>
      <c r="D990" s="73" t="s">
        <v>2346</v>
      </c>
      <c r="E990" s="73" t="s">
        <v>617</v>
      </c>
      <c r="F990" s="72" t="s">
        <v>834</v>
      </c>
      <c r="G990" s="74" t="n">
        <v>2103</v>
      </c>
      <c r="H990" s="75" t="s">
        <v>2446</v>
      </c>
      <c r="I990" s="72" t="s">
        <v>166</v>
      </c>
    </row>
    <row r="991" customFormat="false" ht="15" hidden="false" customHeight="false" outlineLevel="0" collapsed="false">
      <c r="A991" s="72" t="n">
        <v>987</v>
      </c>
      <c r="B991" s="72" t="s">
        <v>2447</v>
      </c>
      <c r="C991" s="72" t="s">
        <v>195</v>
      </c>
      <c r="D991" s="73" t="s">
        <v>2448</v>
      </c>
      <c r="E991" s="73" t="s">
        <v>722</v>
      </c>
      <c r="F991" s="72" t="s">
        <v>843</v>
      </c>
      <c r="G991" s="74" t="n">
        <v>41984</v>
      </c>
      <c r="H991" s="75" t="s">
        <v>860</v>
      </c>
      <c r="I991" s="72" t="s">
        <v>166</v>
      </c>
    </row>
    <row r="992" customFormat="false" ht="15" hidden="false" customHeight="false" outlineLevel="0" collapsed="false">
      <c r="A992" s="72" t="n">
        <v>988</v>
      </c>
      <c r="B992" s="72" t="s">
        <v>2449</v>
      </c>
      <c r="C992" s="72" t="s">
        <v>195</v>
      </c>
      <c r="D992" s="73" t="s">
        <v>2448</v>
      </c>
      <c r="E992" s="73" t="s">
        <v>722</v>
      </c>
      <c r="F992" s="72" t="s">
        <v>843</v>
      </c>
      <c r="G992" s="74" t="n">
        <v>53130</v>
      </c>
      <c r="H992" s="75" t="s">
        <v>862</v>
      </c>
      <c r="I992" s="72" t="s">
        <v>166</v>
      </c>
    </row>
    <row r="993" customFormat="false" ht="15" hidden="false" customHeight="false" outlineLevel="0" collapsed="false">
      <c r="A993" s="72" t="n">
        <v>989</v>
      </c>
      <c r="B993" s="72" t="s">
        <v>2450</v>
      </c>
      <c r="C993" s="72" t="s">
        <v>195</v>
      </c>
      <c r="D993" s="73" t="s">
        <v>2448</v>
      </c>
      <c r="E993" s="73" t="s">
        <v>617</v>
      </c>
      <c r="F993" s="72" t="s">
        <v>834</v>
      </c>
      <c r="G993" s="74" t="n">
        <v>3391</v>
      </c>
      <c r="H993" s="75" t="s">
        <v>2451</v>
      </c>
      <c r="I993" s="72" t="s">
        <v>166</v>
      </c>
    </row>
    <row r="994" customFormat="false" ht="15" hidden="false" customHeight="false" outlineLevel="0" collapsed="false">
      <c r="A994" s="72" t="n">
        <v>990</v>
      </c>
      <c r="B994" s="72" t="s">
        <v>2452</v>
      </c>
      <c r="C994" s="72" t="s">
        <v>195</v>
      </c>
      <c r="D994" s="73" t="s">
        <v>2448</v>
      </c>
      <c r="E994" s="73" t="s">
        <v>617</v>
      </c>
      <c r="F994" s="72" t="s">
        <v>2248</v>
      </c>
      <c r="G994" s="74" t="n">
        <v>1168</v>
      </c>
      <c r="H994" s="75" t="s">
        <v>2453</v>
      </c>
      <c r="I994" s="72" t="s">
        <v>166</v>
      </c>
    </row>
    <row r="995" customFormat="false" ht="15" hidden="false" customHeight="false" outlineLevel="0" collapsed="false">
      <c r="A995" s="72" t="n">
        <v>991</v>
      </c>
      <c r="B995" s="72" t="s">
        <v>2454</v>
      </c>
      <c r="C995" s="72" t="s">
        <v>195</v>
      </c>
      <c r="D995" s="73" t="s">
        <v>2448</v>
      </c>
      <c r="E995" s="73" t="s">
        <v>617</v>
      </c>
      <c r="F995" s="72" t="s">
        <v>2248</v>
      </c>
      <c r="G995" s="74" t="n">
        <v>1187</v>
      </c>
      <c r="H995" s="75" t="s">
        <v>2455</v>
      </c>
      <c r="I995" s="72" t="s">
        <v>166</v>
      </c>
    </row>
    <row r="996" customFormat="false" ht="15" hidden="false" customHeight="false" outlineLevel="0" collapsed="false">
      <c r="A996" s="72" t="n">
        <v>992</v>
      </c>
      <c r="B996" s="72" t="s">
        <v>2456</v>
      </c>
      <c r="C996" s="72" t="s">
        <v>195</v>
      </c>
      <c r="D996" s="73" t="s">
        <v>2448</v>
      </c>
      <c r="E996" s="73" t="s">
        <v>617</v>
      </c>
      <c r="F996" s="72" t="s">
        <v>2248</v>
      </c>
      <c r="G996" s="74" t="n">
        <v>552</v>
      </c>
      <c r="H996" s="75" t="s">
        <v>2457</v>
      </c>
      <c r="I996" s="72" t="s">
        <v>166</v>
      </c>
    </row>
    <row r="997" customFormat="false" ht="15" hidden="false" customHeight="false" outlineLevel="0" collapsed="false">
      <c r="A997" s="72" t="n">
        <v>993</v>
      </c>
      <c r="B997" s="72" t="s">
        <v>2458</v>
      </c>
      <c r="C997" s="72" t="s">
        <v>195</v>
      </c>
      <c r="D997" s="73" t="s">
        <v>2448</v>
      </c>
      <c r="E997" s="73" t="s">
        <v>617</v>
      </c>
      <c r="F997" s="72" t="s">
        <v>2248</v>
      </c>
      <c r="G997" s="74" t="n">
        <v>366</v>
      </c>
      <c r="H997" s="75" t="s">
        <v>2459</v>
      </c>
      <c r="I997" s="72" t="s">
        <v>166</v>
      </c>
    </row>
    <row r="998" customFormat="false" ht="15" hidden="false" customHeight="false" outlineLevel="0" collapsed="false">
      <c r="A998" s="72" t="n">
        <v>994</v>
      </c>
      <c r="B998" s="72" t="s">
        <v>2460</v>
      </c>
      <c r="C998" s="72" t="s">
        <v>195</v>
      </c>
      <c r="D998" s="73" t="s">
        <v>2448</v>
      </c>
      <c r="E998" s="73" t="s">
        <v>617</v>
      </c>
      <c r="F998" s="72" t="s">
        <v>2248</v>
      </c>
      <c r="G998" s="74" t="n">
        <v>998</v>
      </c>
      <c r="H998" s="75" t="s">
        <v>2461</v>
      </c>
      <c r="I998" s="72" t="s">
        <v>166</v>
      </c>
    </row>
    <row r="999" customFormat="false" ht="15" hidden="false" customHeight="false" outlineLevel="0" collapsed="false">
      <c r="A999" s="72" t="n">
        <v>995</v>
      </c>
      <c r="B999" s="72" t="s">
        <v>2462</v>
      </c>
      <c r="C999" s="72" t="s">
        <v>195</v>
      </c>
      <c r="D999" s="73" t="s">
        <v>2448</v>
      </c>
      <c r="E999" s="73" t="s">
        <v>617</v>
      </c>
      <c r="F999" s="72" t="s">
        <v>834</v>
      </c>
      <c r="G999" s="74" t="n">
        <v>1625</v>
      </c>
      <c r="H999" s="75" t="s">
        <v>2463</v>
      </c>
      <c r="I999" s="72" t="s">
        <v>166</v>
      </c>
    </row>
    <row r="1000" customFormat="false" ht="15" hidden="false" customHeight="false" outlineLevel="0" collapsed="false">
      <c r="A1000" s="72" t="n">
        <v>996</v>
      </c>
      <c r="B1000" s="72" t="s">
        <v>2464</v>
      </c>
      <c r="C1000" s="72" t="s">
        <v>195</v>
      </c>
      <c r="D1000" s="73" t="s">
        <v>2448</v>
      </c>
      <c r="E1000" s="73" t="s">
        <v>617</v>
      </c>
      <c r="F1000" s="72" t="s">
        <v>834</v>
      </c>
      <c r="G1000" s="74" t="n">
        <v>872</v>
      </c>
      <c r="H1000" s="75" t="s">
        <v>2465</v>
      </c>
      <c r="I1000" s="72" t="s">
        <v>166</v>
      </c>
    </row>
    <row r="1001" customFormat="false" ht="15" hidden="false" customHeight="false" outlineLevel="0" collapsed="false">
      <c r="A1001" s="72" t="n">
        <v>997</v>
      </c>
      <c r="B1001" s="72" t="s">
        <v>2466</v>
      </c>
      <c r="C1001" s="72" t="s">
        <v>195</v>
      </c>
      <c r="D1001" s="73" t="s">
        <v>2448</v>
      </c>
      <c r="E1001" s="73" t="s">
        <v>617</v>
      </c>
      <c r="F1001" s="72" t="s">
        <v>834</v>
      </c>
      <c r="G1001" s="74" t="n">
        <v>1717</v>
      </c>
      <c r="H1001" s="75" t="s">
        <v>2467</v>
      </c>
      <c r="I1001" s="72" t="s">
        <v>166</v>
      </c>
    </row>
    <row r="1002" customFormat="false" ht="15" hidden="false" customHeight="false" outlineLevel="0" collapsed="false">
      <c r="A1002" s="72" t="n">
        <v>998</v>
      </c>
      <c r="B1002" s="72" t="s">
        <v>2468</v>
      </c>
      <c r="C1002" s="72" t="s">
        <v>195</v>
      </c>
      <c r="D1002" s="73" t="s">
        <v>2448</v>
      </c>
      <c r="E1002" s="73" t="s">
        <v>617</v>
      </c>
      <c r="F1002" s="72" t="s">
        <v>834</v>
      </c>
      <c r="G1002" s="74" t="n">
        <v>499</v>
      </c>
      <c r="H1002" s="75" t="s">
        <v>2469</v>
      </c>
      <c r="I1002" s="72" t="s">
        <v>166</v>
      </c>
    </row>
    <row r="1003" customFormat="false" ht="15" hidden="false" customHeight="false" outlineLevel="0" collapsed="false">
      <c r="A1003" s="72" t="n">
        <v>999</v>
      </c>
      <c r="B1003" s="72" t="s">
        <v>2470</v>
      </c>
      <c r="C1003" s="72" t="s">
        <v>195</v>
      </c>
      <c r="D1003" s="73" t="s">
        <v>2448</v>
      </c>
      <c r="E1003" s="73" t="s">
        <v>617</v>
      </c>
      <c r="F1003" s="72" t="s">
        <v>2248</v>
      </c>
      <c r="G1003" s="74" t="n">
        <v>1306</v>
      </c>
      <c r="H1003" s="75" t="s">
        <v>2471</v>
      </c>
      <c r="I1003" s="72" t="s">
        <v>166</v>
      </c>
    </row>
    <row r="1004" customFormat="false" ht="15" hidden="false" customHeight="false" outlineLevel="0" collapsed="false">
      <c r="A1004" s="72" t="n">
        <v>1000</v>
      </c>
      <c r="B1004" s="72" t="s">
        <v>2472</v>
      </c>
      <c r="C1004" s="72" t="s">
        <v>195</v>
      </c>
      <c r="D1004" s="73" t="s">
        <v>2448</v>
      </c>
      <c r="E1004" s="73" t="s">
        <v>617</v>
      </c>
      <c r="F1004" s="72" t="s">
        <v>834</v>
      </c>
      <c r="G1004" s="74" t="n">
        <v>718</v>
      </c>
      <c r="H1004" s="75" t="s">
        <v>2473</v>
      </c>
      <c r="I1004" s="72" t="s">
        <v>166</v>
      </c>
    </row>
    <row r="1005" customFormat="false" ht="15" hidden="false" customHeight="false" outlineLevel="0" collapsed="false">
      <c r="A1005" s="72" t="n">
        <v>1001</v>
      </c>
      <c r="B1005" s="72" t="s">
        <v>2474</v>
      </c>
      <c r="C1005" s="72" t="s">
        <v>195</v>
      </c>
      <c r="D1005" s="73" t="s">
        <v>2448</v>
      </c>
      <c r="E1005" s="73" t="s">
        <v>866</v>
      </c>
      <c r="F1005" s="72" t="s">
        <v>867</v>
      </c>
      <c r="G1005" s="74" t="n">
        <v>4076</v>
      </c>
      <c r="H1005" s="75" t="s">
        <v>2475</v>
      </c>
      <c r="I1005" s="72" t="s">
        <v>166</v>
      </c>
    </row>
    <row r="1006" customFormat="false" ht="15" hidden="false" customHeight="false" outlineLevel="0" collapsed="false">
      <c r="A1006" s="72" t="n">
        <v>1002</v>
      </c>
      <c r="B1006" s="72" t="s">
        <v>2476</v>
      </c>
      <c r="C1006" s="72" t="s">
        <v>189</v>
      </c>
      <c r="D1006" s="73" t="s">
        <v>2477</v>
      </c>
      <c r="E1006" s="73" t="s">
        <v>617</v>
      </c>
      <c r="F1006" s="72" t="s">
        <v>2248</v>
      </c>
      <c r="G1006" s="74" t="n">
        <v>6483</v>
      </c>
      <c r="H1006" s="75" t="s">
        <v>2478</v>
      </c>
      <c r="I1006" s="72" t="s">
        <v>166</v>
      </c>
    </row>
    <row r="1007" customFormat="false" ht="15" hidden="false" customHeight="false" outlineLevel="0" collapsed="false">
      <c r="A1007" s="72" t="n">
        <v>1003</v>
      </c>
      <c r="B1007" s="72" t="s">
        <v>2479</v>
      </c>
      <c r="C1007" s="72" t="s">
        <v>189</v>
      </c>
      <c r="D1007" s="73" t="s">
        <v>2477</v>
      </c>
      <c r="E1007" s="73" t="s">
        <v>617</v>
      </c>
      <c r="F1007" s="72" t="s">
        <v>2248</v>
      </c>
      <c r="G1007" s="74" t="n">
        <v>2311</v>
      </c>
      <c r="H1007" s="75" t="s">
        <v>2480</v>
      </c>
      <c r="I1007" s="72" t="s">
        <v>166</v>
      </c>
    </row>
    <row r="1008" customFormat="false" ht="15" hidden="false" customHeight="false" outlineLevel="0" collapsed="false">
      <c r="A1008" s="72" t="n">
        <v>1004</v>
      </c>
      <c r="B1008" s="72" t="s">
        <v>2481</v>
      </c>
      <c r="C1008" s="72" t="s">
        <v>189</v>
      </c>
      <c r="D1008" s="73" t="s">
        <v>2477</v>
      </c>
      <c r="E1008" s="73" t="s">
        <v>617</v>
      </c>
      <c r="F1008" s="72" t="s">
        <v>834</v>
      </c>
      <c r="G1008" s="74" t="n">
        <v>329</v>
      </c>
      <c r="H1008" s="75" t="s">
        <v>2482</v>
      </c>
      <c r="I1008" s="72" t="s">
        <v>166</v>
      </c>
    </row>
    <row r="1009" customFormat="false" ht="15" hidden="false" customHeight="false" outlineLevel="0" collapsed="false">
      <c r="A1009" s="72" t="n">
        <v>1005</v>
      </c>
      <c r="B1009" s="72" t="s">
        <v>2483</v>
      </c>
      <c r="C1009" s="72" t="s">
        <v>189</v>
      </c>
      <c r="D1009" s="73" t="s">
        <v>2477</v>
      </c>
      <c r="E1009" s="73" t="s">
        <v>866</v>
      </c>
      <c r="F1009" s="72" t="s">
        <v>867</v>
      </c>
      <c r="G1009" s="74" t="n">
        <v>10753</v>
      </c>
      <c r="H1009" s="75" t="s">
        <v>2484</v>
      </c>
      <c r="I1009" s="72" t="s">
        <v>166</v>
      </c>
    </row>
    <row r="1010" customFormat="false" ht="15" hidden="false" customHeight="false" outlineLevel="0" collapsed="false">
      <c r="A1010" s="72" t="n">
        <v>1006</v>
      </c>
      <c r="B1010" s="72" t="s">
        <v>2485</v>
      </c>
      <c r="C1010" s="72" t="s">
        <v>183</v>
      </c>
      <c r="D1010" s="73" t="s">
        <v>2486</v>
      </c>
      <c r="E1010" s="73" t="s">
        <v>722</v>
      </c>
      <c r="F1010" s="72" t="s">
        <v>843</v>
      </c>
      <c r="G1010" s="74" t="n">
        <v>16038</v>
      </c>
      <c r="H1010" s="75" t="s">
        <v>878</v>
      </c>
      <c r="I1010" s="72" t="s">
        <v>166</v>
      </c>
    </row>
    <row r="1011" customFormat="false" ht="15" hidden="false" customHeight="false" outlineLevel="0" collapsed="false">
      <c r="A1011" s="72" t="n">
        <v>1007</v>
      </c>
      <c r="B1011" s="72" t="s">
        <v>2487</v>
      </c>
      <c r="C1011" s="72" t="s">
        <v>183</v>
      </c>
      <c r="D1011" s="73" t="s">
        <v>2486</v>
      </c>
      <c r="E1011" s="73" t="s">
        <v>722</v>
      </c>
      <c r="F1011" s="72" t="s">
        <v>843</v>
      </c>
      <c r="G1011" s="74" t="n">
        <v>39592</v>
      </c>
      <c r="H1011" s="75" t="s">
        <v>882</v>
      </c>
      <c r="I1011" s="72" t="s">
        <v>166</v>
      </c>
    </row>
    <row r="1012" customFormat="false" ht="15" hidden="false" customHeight="false" outlineLevel="0" collapsed="false">
      <c r="A1012" s="72" t="n">
        <v>1008</v>
      </c>
      <c r="B1012" s="72" t="s">
        <v>2488</v>
      </c>
      <c r="C1012" s="72" t="s">
        <v>183</v>
      </c>
      <c r="D1012" s="73" t="s">
        <v>2486</v>
      </c>
      <c r="E1012" s="73" t="s">
        <v>722</v>
      </c>
      <c r="F1012" s="72" t="s">
        <v>843</v>
      </c>
      <c r="G1012" s="74" t="n">
        <v>51478</v>
      </c>
      <c r="H1012" s="75" t="s">
        <v>880</v>
      </c>
      <c r="I1012" s="72" t="s">
        <v>166</v>
      </c>
    </row>
    <row r="1013" customFormat="false" ht="15" hidden="false" customHeight="false" outlineLevel="0" collapsed="false">
      <c r="A1013" s="72" t="n">
        <v>1009</v>
      </c>
      <c r="B1013" s="72" t="s">
        <v>2489</v>
      </c>
      <c r="C1013" s="72" t="s">
        <v>183</v>
      </c>
      <c r="D1013" s="73" t="s">
        <v>2486</v>
      </c>
      <c r="E1013" s="73" t="s">
        <v>722</v>
      </c>
      <c r="F1013" s="72" t="s">
        <v>843</v>
      </c>
      <c r="G1013" s="74" t="n">
        <v>69934</v>
      </c>
      <c r="H1013" s="75" t="s">
        <v>884</v>
      </c>
      <c r="I1013" s="72" t="s">
        <v>166</v>
      </c>
    </row>
    <row r="1014" customFormat="false" ht="15" hidden="false" customHeight="false" outlineLevel="0" collapsed="false">
      <c r="A1014" s="72" t="n">
        <v>1010</v>
      </c>
      <c r="B1014" s="72" t="s">
        <v>2490</v>
      </c>
      <c r="C1014" s="72" t="s">
        <v>183</v>
      </c>
      <c r="D1014" s="73" t="s">
        <v>2486</v>
      </c>
      <c r="E1014" s="73" t="s">
        <v>617</v>
      </c>
      <c r="F1014" s="72" t="s">
        <v>834</v>
      </c>
      <c r="G1014" s="74" t="n">
        <v>2267</v>
      </c>
      <c r="H1014" s="75" t="s">
        <v>2491</v>
      </c>
      <c r="I1014" s="72" t="s">
        <v>166</v>
      </c>
    </row>
    <row r="1015" customFormat="false" ht="15" hidden="false" customHeight="false" outlineLevel="0" collapsed="false">
      <c r="A1015" s="72" t="n">
        <v>1011</v>
      </c>
      <c r="B1015" s="72" t="s">
        <v>2492</v>
      </c>
      <c r="C1015" s="72" t="s">
        <v>183</v>
      </c>
      <c r="D1015" s="73" t="s">
        <v>2486</v>
      </c>
      <c r="E1015" s="73" t="s">
        <v>617</v>
      </c>
      <c r="F1015" s="72" t="s">
        <v>2248</v>
      </c>
      <c r="G1015" s="74" t="n">
        <v>1402</v>
      </c>
      <c r="H1015" s="75" t="s">
        <v>2493</v>
      </c>
      <c r="I1015" s="72" t="s">
        <v>166</v>
      </c>
    </row>
    <row r="1016" customFormat="false" ht="15" hidden="false" customHeight="false" outlineLevel="0" collapsed="false">
      <c r="A1016" s="72" t="n">
        <v>1012</v>
      </c>
      <c r="B1016" s="72" t="s">
        <v>2494</v>
      </c>
      <c r="C1016" s="72" t="s">
        <v>183</v>
      </c>
      <c r="D1016" s="73" t="s">
        <v>2486</v>
      </c>
      <c r="E1016" s="73" t="s">
        <v>617</v>
      </c>
      <c r="F1016" s="72" t="s">
        <v>2248</v>
      </c>
      <c r="G1016" s="74" t="n">
        <v>620</v>
      </c>
      <c r="H1016" s="75" t="s">
        <v>2495</v>
      </c>
      <c r="I1016" s="72" t="s">
        <v>166</v>
      </c>
    </row>
    <row r="1017" customFormat="false" ht="15" hidden="false" customHeight="false" outlineLevel="0" collapsed="false">
      <c r="A1017" s="72" t="n">
        <v>1013</v>
      </c>
      <c r="B1017" s="72" t="s">
        <v>2496</v>
      </c>
      <c r="C1017" s="72" t="s">
        <v>183</v>
      </c>
      <c r="D1017" s="73" t="s">
        <v>2486</v>
      </c>
      <c r="E1017" s="73" t="s">
        <v>617</v>
      </c>
      <c r="F1017" s="72" t="s">
        <v>2248</v>
      </c>
      <c r="G1017" s="74" t="n">
        <v>832</v>
      </c>
      <c r="H1017" s="75" t="s">
        <v>2497</v>
      </c>
      <c r="I1017" s="72" t="s">
        <v>166</v>
      </c>
    </row>
    <row r="1018" customFormat="false" ht="15" hidden="false" customHeight="false" outlineLevel="0" collapsed="false">
      <c r="A1018" s="72" t="n">
        <v>1014</v>
      </c>
      <c r="B1018" s="72" t="s">
        <v>2498</v>
      </c>
      <c r="C1018" s="72" t="s">
        <v>183</v>
      </c>
      <c r="D1018" s="73" t="s">
        <v>2486</v>
      </c>
      <c r="E1018" s="73" t="s">
        <v>617</v>
      </c>
      <c r="F1018" s="72" t="s">
        <v>2248</v>
      </c>
      <c r="G1018" s="74" t="n">
        <v>2288</v>
      </c>
      <c r="H1018" s="75" t="s">
        <v>2499</v>
      </c>
      <c r="I1018" s="72" t="s">
        <v>166</v>
      </c>
    </row>
    <row r="1019" customFormat="false" ht="15" hidden="false" customHeight="false" outlineLevel="0" collapsed="false">
      <c r="A1019" s="72" t="n">
        <v>1015</v>
      </c>
      <c r="B1019" s="72" t="s">
        <v>2500</v>
      </c>
      <c r="C1019" s="72" t="s">
        <v>183</v>
      </c>
      <c r="D1019" s="73" t="s">
        <v>2486</v>
      </c>
      <c r="E1019" s="73" t="s">
        <v>617</v>
      </c>
      <c r="F1019" s="72" t="s">
        <v>2248</v>
      </c>
      <c r="G1019" s="74" t="n">
        <v>531</v>
      </c>
      <c r="H1019" s="75" t="s">
        <v>2501</v>
      </c>
      <c r="I1019" s="72" t="s">
        <v>166</v>
      </c>
    </row>
    <row r="1020" customFormat="false" ht="15" hidden="false" customHeight="false" outlineLevel="0" collapsed="false">
      <c r="A1020" s="72" t="n">
        <v>1016</v>
      </c>
      <c r="B1020" s="72" t="s">
        <v>2502</v>
      </c>
      <c r="C1020" s="72" t="s">
        <v>183</v>
      </c>
      <c r="D1020" s="73" t="s">
        <v>2486</v>
      </c>
      <c r="E1020" s="73" t="s">
        <v>617</v>
      </c>
      <c r="F1020" s="72" t="s">
        <v>2248</v>
      </c>
      <c r="G1020" s="74" t="n">
        <v>1155</v>
      </c>
      <c r="H1020" s="75" t="s">
        <v>2503</v>
      </c>
      <c r="I1020" s="72" t="s">
        <v>166</v>
      </c>
    </row>
    <row r="1021" customFormat="false" ht="15" hidden="false" customHeight="false" outlineLevel="0" collapsed="false">
      <c r="A1021" s="72" t="n">
        <v>1017</v>
      </c>
      <c r="B1021" s="72" t="s">
        <v>2504</v>
      </c>
      <c r="C1021" s="72" t="s">
        <v>183</v>
      </c>
      <c r="D1021" s="73" t="s">
        <v>2486</v>
      </c>
      <c r="E1021" s="73" t="s">
        <v>617</v>
      </c>
      <c r="F1021" s="72" t="s">
        <v>2248</v>
      </c>
      <c r="G1021" s="74" t="n">
        <v>679</v>
      </c>
      <c r="H1021" s="75" t="s">
        <v>2505</v>
      </c>
      <c r="I1021" s="72" t="s">
        <v>166</v>
      </c>
    </row>
    <row r="1022" customFormat="false" ht="15" hidden="false" customHeight="false" outlineLevel="0" collapsed="false">
      <c r="A1022" s="72" t="n">
        <v>1018</v>
      </c>
      <c r="B1022" s="72" t="s">
        <v>2506</v>
      </c>
      <c r="C1022" s="72" t="s">
        <v>183</v>
      </c>
      <c r="D1022" s="73" t="s">
        <v>2486</v>
      </c>
      <c r="E1022" s="73" t="s">
        <v>617</v>
      </c>
      <c r="F1022" s="72" t="s">
        <v>2248</v>
      </c>
      <c r="G1022" s="74" t="n">
        <v>957</v>
      </c>
      <c r="H1022" s="75" t="s">
        <v>2507</v>
      </c>
      <c r="I1022" s="72" t="s">
        <v>166</v>
      </c>
    </row>
    <row r="1023" customFormat="false" ht="15" hidden="false" customHeight="false" outlineLevel="0" collapsed="false">
      <c r="A1023" s="72" t="n">
        <v>1019</v>
      </c>
      <c r="B1023" s="72" t="s">
        <v>2508</v>
      </c>
      <c r="C1023" s="72" t="s">
        <v>183</v>
      </c>
      <c r="D1023" s="73" t="s">
        <v>2486</v>
      </c>
      <c r="E1023" s="73" t="s">
        <v>617</v>
      </c>
      <c r="F1023" s="72" t="s">
        <v>2248</v>
      </c>
      <c r="G1023" s="74" t="n">
        <v>1103</v>
      </c>
      <c r="H1023" s="75" t="s">
        <v>2509</v>
      </c>
      <c r="I1023" s="72" t="s">
        <v>166</v>
      </c>
    </row>
    <row r="1024" customFormat="false" ht="15" hidden="false" customHeight="false" outlineLevel="0" collapsed="false">
      <c r="A1024" s="72" t="n">
        <v>1020</v>
      </c>
      <c r="B1024" s="72" t="s">
        <v>2510</v>
      </c>
      <c r="C1024" s="72" t="s">
        <v>183</v>
      </c>
      <c r="D1024" s="73" t="s">
        <v>2486</v>
      </c>
      <c r="E1024" s="73" t="s">
        <v>617</v>
      </c>
      <c r="F1024" s="72" t="s">
        <v>2248</v>
      </c>
      <c r="G1024" s="74" t="n">
        <v>5328</v>
      </c>
      <c r="H1024" s="75" t="s">
        <v>2511</v>
      </c>
      <c r="I1024" s="72" t="s">
        <v>166</v>
      </c>
    </row>
    <row r="1025" customFormat="false" ht="15" hidden="false" customHeight="false" outlineLevel="0" collapsed="false">
      <c r="A1025" s="72" t="n">
        <v>1021</v>
      </c>
      <c r="B1025" s="72" t="s">
        <v>2512</v>
      </c>
      <c r="C1025" s="72" t="s">
        <v>183</v>
      </c>
      <c r="D1025" s="73" t="s">
        <v>2486</v>
      </c>
      <c r="E1025" s="73" t="s">
        <v>617</v>
      </c>
      <c r="F1025" s="72" t="s">
        <v>2248</v>
      </c>
      <c r="G1025" s="74" t="n">
        <v>574</v>
      </c>
      <c r="H1025" s="75" t="s">
        <v>2513</v>
      </c>
      <c r="I1025" s="72" t="s">
        <v>166</v>
      </c>
    </row>
    <row r="1026" customFormat="false" ht="15" hidden="false" customHeight="false" outlineLevel="0" collapsed="false">
      <c r="A1026" s="72" t="n">
        <v>1022</v>
      </c>
      <c r="B1026" s="72" t="s">
        <v>2514</v>
      </c>
      <c r="C1026" s="72" t="s">
        <v>183</v>
      </c>
      <c r="D1026" s="73" t="s">
        <v>2486</v>
      </c>
      <c r="E1026" s="73" t="s">
        <v>617</v>
      </c>
      <c r="F1026" s="72" t="s">
        <v>834</v>
      </c>
      <c r="G1026" s="74" t="n">
        <v>1735</v>
      </c>
      <c r="H1026" s="75" t="s">
        <v>2515</v>
      </c>
      <c r="I1026" s="72" t="s">
        <v>166</v>
      </c>
    </row>
    <row r="1027" customFormat="false" ht="15" hidden="false" customHeight="false" outlineLevel="0" collapsed="false">
      <c r="A1027" s="72" t="n">
        <v>1023</v>
      </c>
      <c r="B1027" s="72" t="s">
        <v>2516</v>
      </c>
      <c r="C1027" s="72" t="s">
        <v>183</v>
      </c>
      <c r="D1027" s="73" t="s">
        <v>2486</v>
      </c>
      <c r="E1027" s="73" t="s">
        <v>617</v>
      </c>
      <c r="F1027" s="72" t="s">
        <v>834</v>
      </c>
      <c r="G1027" s="74" t="n">
        <v>863</v>
      </c>
      <c r="H1027" s="75" t="s">
        <v>2517</v>
      </c>
      <c r="I1027" s="72" t="s">
        <v>166</v>
      </c>
    </row>
    <row r="1028" customFormat="false" ht="15" hidden="false" customHeight="false" outlineLevel="0" collapsed="false">
      <c r="A1028" s="72" t="n">
        <v>1024</v>
      </c>
      <c r="B1028" s="72" t="s">
        <v>2518</v>
      </c>
      <c r="C1028" s="72" t="s">
        <v>183</v>
      </c>
      <c r="D1028" s="73" t="s">
        <v>2486</v>
      </c>
      <c r="E1028" s="73" t="s">
        <v>617</v>
      </c>
      <c r="F1028" s="72" t="s">
        <v>834</v>
      </c>
      <c r="G1028" s="74" t="n">
        <v>1947</v>
      </c>
      <c r="H1028" s="75" t="s">
        <v>2519</v>
      </c>
      <c r="I1028" s="72" t="s">
        <v>166</v>
      </c>
    </row>
    <row r="1029" customFormat="false" ht="15" hidden="false" customHeight="false" outlineLevel="0" collapsed="false">
      <c r="A1029" s="72" t="n">
        <v>1025</v>
      </c>
      <c r="B1029" s="72" t="s">
        <v>2520</v>
      </c>
      <c r="C1029" s="72" t="s">
        <v>183</v>
      </c>
      <c r="D1029" s="73" t="s">
        <v>2486</v>
      </c>
      <c r="E1029" s="73" t="s">
        <v>617</v>
      </c>
      <c r="F1029" s="72" t="s">
        <v>834</v>
      </c>
      <c r="G1029" s="74" t="n">
        <v>1314</v>
      </c>
      <c r="H1029" s="75" t="s">
        <v>2521</v>
      </c>
      <c r="I1029" s="72" t="s">
        <v>166</v>
      </c>
    </row>
    <row r="1030" customFormat="false" ht="15" hidden="false" customHeight="false" outlineLevel="0" collapsed="false">
      <c r="A1030" s="72" t="n">
        <v>1026</v>
      </c>
      <c r="B1030" s="72" t="s">
        <v>2522</v>
      </c>
      <c r="C1030" s="72" t="s">
        <v>183</v>
      </c>
      <c r="D1030" s="73" t="s">
        <v>2486</v>
      </c>
      <c r="E1030" s="73" t="s">
        <v>617</v>
      </c>
      <c r="F1030" s="72" t="s">
        <v>2248</v>
      </c>
      <c r="G1030" s="74" t="n">
        <v>1110</v>
      </c>
      <c r="H1030" s="75" t="s">
        <v>2523</v>
      </c>
      <c r="I1030" s="72" t="s">
        <v>166</v>
      </c>
    </row>
    <row r="1031" customFormat="false" ht="15" hidden="false" customHeight="false" outlineLevel="0" collapsed="false">
      <c r="A1031" s="72" t="n">
        <v>1027</v>
      </c>
      <c r="B1031" s="72" t="s">
        <v>2524</v>
      </c>
      <c r="C1031" s="72" t="s">
        <v>183</v>
      </c>
      <c r="D1031" s="73" t="s">
        <v>2486</v>
      </c>
      <c r="E1031" s="73" t="s">
        <v>617</v>
      </c>
      <c r="F1031" s="72" t="s">
        <v>2248</v>
      </c>
      <c r="G1031" s="74" t="n">
        <v>723</v>
      </c>
      <c r="H1031" s="75" t="s">
        <v>2525</v>
      </c>
      <c r="I1031" s="72" t="s">
        <v>166</v>
      </c>
    </row>
    <row r="1032" customFormat="false" ht="15" hidden="false" customHeight="false" outlineLevel="0" collapsed="false">
      <c r="A1032" s="72" t="n">
        <v>1028</v>
      </c>
      <c r="B1032" s="72" t="s">
        <v>2526</v>
      </c>
      <c r="C1032" s="72" t="s">
        <v>183</v>
      </c>
      <c r="D1032" s="73" t="s">
        <v>2486</v>
      </c>
      <c r="E1032" s="73" t="s">
        <v>617</v>
      </c>
      <c r="F1032" s="72" t="s">
        <v>2248</v>
      </c>
      <c r="G1032" s="74" t="n">
        <v>1823</v>
      </c>
      <c r="H1032" s="75" t="s">
        <v>2527</v>
      </c>
      <c r="I1032" s="72" t="s">
        <v>166</v>
      </c>
    </row>
    <row r="1033" customFormat="false" ht="15" hidden="false" customHeight="false" outlineLevel="0" collapsed="false">
      <c r="A1033" s="72" t="n">
        <v>1029</v>
      </c>
      <c r="B1033" s="72" t="s">
        <v>2528</v>
      </c>
      <c r="C1033" s="72" t="s">
        <v>183</v>
      </c>
      <c r="D1033" s="73" t="s">
        <v>2486</v>
      </c>
      <c r="E1033" s="73" t="s">
        <v>866</v>
      </c>
      <c r="F1033" s="72" t="s">
        <v>867</v>
      </c>
      <c r="G1033" s="74" t="n">
        <v>18383</v>
      </c>
      <c r="H1033" s="75" t="s">
        <v>2529</v>
      </c>
      <c r="I1033" s="72" t="s">
        <v>166</v>
      </c>
    </row>
    <row r="1034" customFormat="false" ht="15" hidden="false" customHeight="false" outlineLevel="0" collapsed="false">
      <c r="A1034" s="72" t="n">
        <v>1030</v>
      </c>
      <c r="B1034" s="72" t="s">
        <v>2530</v>
      </c>
      <c r="C1034" s="72" t="s">
        <v>198</v>
      </c>
      <c r="D1034" s="73" t="s">
        <v>2531</v>
      </c>
      <c r="E1034" s="73" t="s">
        <v>722</v>
      </c>
      <c r="F1034" s="72" t="s">
        <v>843</v>
      </c>
      <c r="G1034" s="74" t="n">
        <v>24596</v>
      </c>
      <c r="H1034" s="75" t="s">
        <v>886</v>
      </c>
      <c r="I1034" s="72" t="s">
        <v>166</v>
      </c>
    </row>
    <row r="1035" customFormat="false" ht="15" hidden="false" customHeight="false" outlineLevel="0" collapsed="false">
      <c r="A1035" s="72" t="n">
        <v>1031</v>
      </c>
      <c r="B1035" s="72" t="s">
        <v>2532</v>
      </c>
      <c r="C1035" s="72" t="s">
        <v>198</v>
      </c>
      <c r="D1035" s="73" t="s">
        <v>2531</v>
      </c>
      <c r="E1035" s="73" t="s">
        <v>722</v>
      </c>
      <c r="F1035" s="72" t="s">
        <v>843</v>
      </c>
      <c r="G1035" s="74" t="n">
        <v>31676</v>
      </c>
      <c r="H1035" s="75" t="s">
        <v>888</v>
      </c>
      <c r="I1035" s="72" t="s">
        <v>166</v>
      </c>
    </row>
    <row r="1036" customFormat="false" ht="15" hidden="false" customHeight="false" outlineLevel="0" collapsed="false">
      <c r="A1036" s="72" t="n">
        <v>1032</v>
      </c>
      <c r="B1036" s="72" t="s">
        <v>2533</v>
      </c>
      <c r="C1036" s="72" t="s">
        <v>198</v>
      </c>
      <c r="D1036" s="73" t="s">
        <v>2531</v>
      </c>
      <c r="E1036" s="73" t="s">
        <v>722</v>
      </c>
      <c r="F1036" s="72" t="s">
        <v>843</v>
      </c>
      <c r="G1036" s="74" t="n">
        <v>48564</v>
      </c>
      <c r="H1036" s="75" t="s">
        <v>890</v>
      </c>
      <c r="I1036" s="72" t="s">
        <v>166</v>
      </c>
    </row>
    <row r="1037" customFormat="false" ht="15" hidden="false" customHeight="false" outlineLevel="0" collapsed="false">
      <c r="A1037" s="72" t="n">
        <v>1033</v>
      </c>
      <c r="B1037" s="72" t="s">
        <v>2534</v>
      </c>
      <c r="C1037" s="72" t="s">
        <v>198</v>
      </c>
      <c r="D1037" s="73" t="s">
        <v>2531</v>
      </c>
      <c r="E1037" s="73" t="s">
        <v>722</v>
      </c>
      <c r="F1037" s="72" t="s">
        <v>843</v>
      </c>
      <c r="G1037" s="74" t="n">
        <v>27702</v>
      </c>
      <c r="H1037" s="75" t="s">
        <v>892</v>
      </c>
      <c r="I1037" s="72" t="s">
        <v>166</v>
      </c>
    </row>
    <row r="1038" customFormat="false" ht="15" hidden="false" customHeight="false" outlineLevel="0" collapsed="false">
      <c r="A1038" s="72" t="n">
        <v>1034</v>
      </c>
      <c r="B1038" s="72" t="s">
        <v>2535</v>
      </c>
      <c r="C1038" s="72" t="s">
        <v>198</v>
      </c>
      <c r="D1038" s="73" t="s">
        <v>2531</v>
      </c>
      <c r="E1038" s="73" t="s">
        <v>722</v>
      </c>
      <c r="F1038" s="72" t="s">
        <v>843</v>
      </c>
      <c r="G1038" s="74" t="n">
        <v>21298</v>
      </c>
      <c r="H1038" s="75" t="s">
        <v>894</v>
      </c>
      <c r="I1038" s="72" t="s">
        <v>166</v>
      </c>
    </row>
    <row r="1039" customFormat="false" ht="15" hidden="false" customHeight="false" outlineLevel="0" collapsed="false">
      <c r="A1039" s="72" t="n">
        <v>1035</v>
      </c>
      <c r="B1039" s="72" t="s">
        <v>2536</v>
      </c>
      <c r="C1039" s="72" t="s">
        <v>198</v>
      </c>
      <c r="D1039" s="73" t="s">
        <v>2531</v>
      </c>
      <c r="E1039" s="73" t="s">
        <v>722</v>
      </c>
      <c r="F1039" s="72" t="s">
        <v>843</v>
      </c>
      <c r="G1039" s="74" t="n">
        <v>22840</v>
      </c>
      <c r="H1039" s="75" t="s">
        <v>896</v>
      </c>
      <c r="I1039" s="72" t="s">
        <v>166</v>
      </c>
    </row>
    <row r="1040" customFormat="false" ht="15" hidden="false" customHeight="false" outlineLevel="0" collapsed="false">
      <c r="A1040" s="72" t="n">
        <v>1036</v>
      </c>
      <c r="B1040" s="72" t="s">
        <v>2537</v>
      </c>
      <c r="C1040" s="72" t="s">
        <v>198</v>
      </c>
      <c r="D1040" s="73" t="s">
        <v>2531</v>
      </c>
      <c r="E1040" s="73" t="s">
        <v>722</v>
      </c>
      <c r="F1040" s="72" t="s">
        <v>843</v>
      </c>
      <c r="G1040" s="74" t="n">
        <v>42604</v>
      </c>
      <c r="H1040" s="75" t="s">
        <v>1172</v>
      </c>
      <c r="I1040" s="72" t="s">
        <v>166</v>
      </c>
    </row>
    <row r="1041" customFormat="false" ht="15" hidden="false" customHeight="false" outlineLevel="0" collapsed="false">
      <c r="A1041" s="72" t="n">
        <v>1037</v>
      </c>
      <c r="B1041" s="72" t="s">
        <v>2538</v>
      </c>
      <c r="C1041" s="72" t="s">
        <v>198</v>
      </c>
      <c r="D1041" s="73" t="s">
        <v>2531</v>
      </c>
      <c r="E1041" s="73" t="s">
        <v>722</v>
      </c>
      <c r="F1041" s="72" t="s">
        <v>843</v>
      </c>
      <c r="G1041" s="74" t="n">
        <v>32042</v>
      </c>
      <c r="H1041" s="75" t="s">
        <v>1174</v>
      </c>
      <c r="I1041" s="72" t="s">
        <v>166</v>
      </c>
    </row>
    <row r="1042" customFormat="false" ht="15" hidden="false" customHeight="false" outlineLevel="0" collapsed="false">
      <c r="A1042" s="72" t="n">
        <v>1038</v>
      </c>
      <c r="B1042" s="72" t="s">
        <v>2539</v>
      </c>
      <c r="C1042" s="72" t="s">
        <v>198</v>
      </c>
      <c r="D1042" s="73" t="s">
        <v>2531</v>
      </c>
      <c r="E1042" s="73" t="s">
        <v>617</v>
      </c>
      <c r="F1042" s="72" t="s">
        <v>834</v>
      </c>
      <c r="G1042" s="74" t="n">
        <v>4333</v>
      </c>
      <c r="H1042" s="75" t="s">
        <v>2540</v>
      </c>
      <c r="I1042" s="72" t="s">
        <v>166</v>
      </c>
    </row>
    <row r="1043" customFormat="false" ht="15" hidden="false" customHeight="false" outlineLevel="0" collapsed="false">
      <c r="A1043" s="72" t="n">
        <v>1039</v>
      </c>
      <c r="B1043" s="72" t="s">
        <v>2541</v>
      </c>
      <c r="C1043" s="72" t="s">
        <v>198</v>
      </c>
      <c r="D1043" s="73" t="s">
        <v>2531</v>
      </c>
      <c r="E1043" s="73" t="s">
        <v>617</v>
      </c>
      <c r="F1043" s="72" t="s">
        <v>2248</v>
      </c>
      <c r="G1043" s="74" t="n">
        <v>946</v>
      </c>
      <c r="H1043" s="75" t="s">
        <v>2542</v>
      </c>
      <c r="I1043" s="72" t="s">
        <v>166</v>
      </c>
    </row>
    <row r="1044" customFormat="false" ht="15" hidden="false" customHeight="false" outlineLevel="0" collapsed="false">
      <c r="A1044" s="72" t="n">
        <v>1040</v>
      </c>
      <c r="B1044" s="72" t="s">
        <v>2543</v>
      </c>
      <c r="C1044" s="72" t="s">
        <v>198</v>
      </c>
      <c r="D1044" s="73" t="s">
        <v>2531</v>
      </c>
      <c r="E1044" s="73" t="s">
        <v>617</v>
      </c>
      <c r="F1044" s="72" t="s">
        <v>2248</v>
      </c>
      <c r="G1044" s="74" t="n">
        <v>3915</v>
      </c>
      <c r="H1044" s="75" t="s">
        <v>2544</v>
      </c>
      <c r="I1044" s="72" t="s">
        <v>166</v>
      </c>
    </row>
    <row r="1045" customFormat="false" ht="15" hidden="false" customHeight="false" outlineLevel="0" collapsed="false">
      <c r="A1045" s="72" t="n">
        <v>1041</v>
      </c>
      <c r="B1045" s="72" t="s">
        <v>2545</v>
      </c>
      <c r="C1045" s="72" t="s">
        <v>198</v>
      </c>
      <c r="D1045" s="73" t="s">
        <v>2531</v>
      </c>
      <c r="E1045" s="73" t="s">
        <v>617</v>
      </c>
      <c r="F1045" s="72" t="s">
        <v>2248</v>
      </c>
      <c r="G1045" s="74" t="n">
        <v>1709</v>
      </c>
      <c r="H1045" s="75" t="s">
        <v>2546</v>
      </c>
      <c r="I1045" s="72" t="s">
        <v>166</v>
      </c>
    </row>
    <row r="1046" customFormat="false" ht="15" hidden="false" customHeight="false" outlineLevel="0" collapsed="false">
      <c r="A1046" s="72" t="n">
        <v>1042</v>
      </c>
      <c r="B1046" s="72" t="s">
        <v>2547</v>
      </c>
      <c r="C1046" s="72" t="s">
        <v>198</v>
      </c>
      <c r="D1046" s="73" t="s">
        <v>2531</v>
      </c>
      <c r="E1046" s="73" t="s">
        <v>617</v>
      </c>
      <c r="F1046" s="72" t="s">
        <v>2248</v>
      </c>
      <c r="G1046" s="74" t="n">
        <v>1744</v>
      </c>
      <c r="H1046" s="75" t="s">
        <v>2548</v>
      </c>
      <c r="I1046" s="72" t="s">
        <v>166</v>
      </c>
    </row>
    <row r="1047" customFormat="false" ht="15" hidden="false" customHeight="false" outlineLevel="0" collapsed="false">
      <c r="A1047" s="72" t="n">
        <v>1043</v>
      </c>
      <c r="B1047" s="72" t="s">
        <v>2549</v>
      </c>
      <c r="C1047" s="72" t="s">
        <v>198</v>
      </c>
      <c r="D1047" s="73" t="s">
        <v>2531</v>
      </c>
      <c r="E1047" s="73" t="s">
        <v>617</v>
      </c>
      <c r="F1047" s="72" t="s">
        <v>2248</v>
      </c>
      <c r="G1047" s="74" t="n">
        <v>1477</v>
      </c>
      <c r="H1047" s="75" t="s">
        <v>2550</v>
      </c>
      <c r="I1047" s="72" t="s">
        <v>166</v>
      </c>
    </row>
    <row r="1048" customFormat="false" ht="15" hidden="false" customHeight="false" outlineLevel="0" collapsed="false">
      <c r="A1048" s="72" t="n">
        <v>1044</v>
      </c>
      <c r="B1048" s="72" t="s">
        <v>2551</v>
      </c>
      <c r="C1048" s="72" t="s">
        <v>198</v>
      </c>
      <c r="D1048" s="73" t="s">
        <v>2531</v>
      </c>
      <c r="E1048" s="73" t="s">
        <v>617</v>
      </c>
      <c r="F1048" s="72" t="s">
        <v>2248</v>
      </c>
      <c r="G1048" s="74" t="n">
        <v>1409</v>
      </c>
      <c r="H1048" s="75" t="s">
        <v>2552</v>
      </c>
      <c r="I1048" s="72" t="s">
        <v>166</v>
      </c>
    </row>
    <row r="1049" customFormat="false" ht="15" hidden="false" customHeight="false" outlineLevel="0" collapsed="false">
      <c r="A1049" s="72" t="n">
        <v>1045</v>
      </c>
      <c r="B1049" s="72" t="s">
        <v>2553</v>
      </c>
      <c r="C1049" s="72" t="s">
        <v>198</v>
      </c>
      <c r="D1049" s="73" t="s">
        <v>2531</v>
      </c>
      <c r="E1049" s="73" t="s">
        <v>617</v>
      </c>
      <c r="F1049" s="72" t="s">
        <v>2248</v>
      </c>
      <c r="G1049" s="74" t="n">
        <v>1450</v>
      </c>
      <c r="H1049" s="75" t="s">
        <v>2554</v>
      </c>
      <c r="I1049" s="72" t="s">
        <v>166</v>
      </c>
    </row>
    <row r="1050" customFormat="false" ht="15" hidden="false" customHeight="false" outlineLevel="0" collapsed="false">
      <c r="A1050" s="72" t="n">
        <v>1046</v>
      </c>
      <c r="B1050" s="72" t="s">
        <v>2555</v>
      </c>
      <c r="C1050" s="72" t="s">
        <v>198</v>
      </c>
      <c r="D1050" s="73" t="s">
        <v>2531</v>
      </c>
      <c r="E1050" s="73" t="s">
        <v>617</v>
      </c>
      <c r="F1050" s="72" t="s">
        <v>2248</v>
      </c>
      <c r="G1050" s="74" t="n">
        <v>1460</v>
      </c>
      <c r="H1050" s="75" t="s">
        <v>2556</v>
      </c>
      <c r="I1050" s="72" t="s">
        <v>166</v>
      </c>
    </row>
    <row r="1051" customFormat="false" ht="15" hidden="false" customHeight="false" outlineLevel="0" collapsed="false">
      <c r="A1051" s="72" t="n">
        <v>1047</v>
      </c>
      <c r="B1051" s="72" t="s">
        <v>2557</v>
      </c>
      <c r="C1051" s="72" t="s">
        <v>198</v>
      </c>
      <c r="D1051" s="73" t="s">
        <v>2531</v>
      </c>
      <c r="E1051" s="73" t="s">
        <v>617</v>
      </c>
      <c r="F1051" s="72" t="s">
        <v>2248</v>
      </c>
      <c r="G1051" s="74" t="n">
        <v>782</v>
      </c>
      <c r="H1051" s="75" t="s">
        <v>2558</v>
      </c>
      <c r="I1051" s="72" t="s">
        <v>166</v>
      </c>
    </row>
    <row r="1052" customFormat="false" ht="15" hidden="false" customHeight="false" outlineLevel="0" collapsed="false">
      <c r="A1052" s="72" t="n">
        <v>1048</v>
      </c>
      <c r="B1052" s="72" t="s">
        <v>2559</v>
      </c>
      <c r="C1052" s="72" t="s">
        <v>198</v>
      </c>
      <c r="D1052" s="73" t="s">
        <v>2531</v>
      </c>
      <c r="E1052" s="73" t="s">
        <v>617</v>
      </c>
      <c r="F1052" s="72" t="s">
        <v>2248</v>
      </c>
      <c r="G1052" s="74" t="n">
        <v>615</v>
      </c>
      <c r="H1052" s="75" t="s">
        <v>2560</v>
      </c>
      <c r="I1052" s="72" t="s">
        <v>166</v>
      </c>
    </row>
    <row r="1053" customFormat="false" ht="15" hidden="false" customHeight="false" outlineLevel="0" collapsed="false">
      <c r="A1053" s="72" t="n">
        <v>1049</v>
      </c>
      <c r="B1053" s="72" t="s">
        <v>2561</v>
      </c>
      <c r="C1053" s="72" t="s">
        <v>198</v>
      </c>
      <c r="D1053" s="73" t="s">
        <v>2531</v>
      </c>
      <c r="E1053" s="73" t="s">
        <v>617</v>
      </c>
      <c r="F1053" s="72" t="s">
        <v>834</v>
      </c>
      <c r="G1053" s="74" t="n">
        <v>2484</v>
      </c>
      <c r="H1053" s="75" t="s">
        <v>2562</v>
      </c>
      <c r="I1053" s="72" t="s">
        <v>166</v>
      </c>
    </row>
    <row r="1054" customFormat="false" ht="15" hidden="false" customHeight="false" outlineLevel="0" collapsed="false">
      <c r="A1054" s="72" t="n">
        <v>1050</v>
      </c>
      <c r="B1054" s="72" t="s">
        <v>2563</v>
      </c>
      <c r="C1054" s="72" t="s">
        <v>198</v>
      </c>
      <c r="D1054" s="73" t="s">
        <v>2531</v>
      </c>
      <c r="E1054" s="73" t="s">
        <v>617</v>
      </c>
      <c r="F1054" s="72" t="s">
        <v>834</v>
      </c>
      <c r="G1054" s="74" t="n">
        <v>2958</v>
      </c>
      <c r="H1054" s="75" t="s">
        <v>2564</v>
      </c>
      <c r="I1054" s="72" t="s">
        <v>166</v>
      </c>
    </row>
    <row r="1055" customFormat="false" ht="15" hidden="false" customHeight="false" outlineLevel="0" collapsed="false">
      <c r="A1055" s="72" t="n">
        <v>1051</v>
      </c>
      <c r="B1055" s="72" t="s">
        <v>2565</v>
      </c>
      <c r="C1055" s="72" t="s">
        <v>198</v>
      </c>
      <c r="D1055" s="73" t="s">
        <v>2531</v>
      </c>
      <c r="E1055" s="73" t="s">
        <v>617</v>
      </c>
      <c r="F1055" s="72" t="s">
        <v>834</v>
      </c>
      <c r="G1055" s="74" t="n">
        <v>872</v>
      </c>
      <c r="H1055" s="75" t="s">
        <v>2566</v>
      </c>
      <c r="I1055" s="72" t="s">
        <v>166</v>
      </c>
    </row>
    <row r="1056" customFormat="false" ht="15" hidden="false" customHeight="false" outlineLevel="0" collapsed="false">
      <c r="A1056" s="72" t="n">
        <v>1052</v>
      </c>
      <c r="B1056" s="72" t="s">
        <v>2567</v>
      </c>
      <c r="C1056" s="72" t="s">
        <v>198</v>
      </c>
      <c r="D1056" s="73" t="s">
        <v>2531</v>
      </c>
      <c r="E1056" s="73" t="s">
        <v>617</v>
      </c>
      <c r="F1056" s="72" t="s">
        <v>834</v>
      </c>
      <c r="G1056" s="74" t="n">
        <v>3357</v>
      </c>
      <c r="H1056" s="75" t="s">
        <v>2568</v>
      </c>
      <c r="I1056" s="72" t="s">
        <v>166</v>
      </c>
    </row>
    <row r="1057" customFormat="false" ht="15" hidden="false" customHeight="false" outlineLevel="0" collapsed="false">
      <c r="A1057" s="72" t="n">
        <v>1053</v>
      </c>
      <c r="B1057" s="72" t="s">
        <v>2569</v>
      </c>
      <c r="C1057" s="72" t="s">
        <v>198</v>
      </c>
      <c r="D1057" s="73" t="s">
        <v>2531</v>
      </c>
      <c r="E1057" s="73" t="s">
        <v>617</v>
      </c>
      <c r="F1057" s="72" t="s">
        <v>834</v>
      </c>
      <c r="G1057" s="74" t="n">
        <v>857</v>
      </c>
      <c r="H1057" s="75" t="s">
        <v>2570</v>
      </c>
      <c r="I1057" s="72" t="s">
        <v>166</v>
      </c>
    </row>
    <row r="1058" customFormat="false" ht="15" hidden="false" customHeight="false" outlineLevel="0" collapsed="false">
      <c r="A1058" s="72" t="n">
        <v>1054</v>
      </c>
      <c r="B1058" s="72" t="s">
        <v>2571</v>
      </c>
      <c r="C1058" s="72" t="s">
        <v>198</v>
      </c>
      <c r="D1058" s="73" t="s">
        <v>2531</v>
      </c>
      <c r="E1058" s="73" t="s">
        <v>617</v>
      </c>
      <c r="F1058" s="72" t="s">
        <v>2248</v>
      </c>
      <c r="G1058" s="74" t="n">
        <v>1921</v>
      </c>
      <c r="H1058" s="75" t="s">
        <v>2572</v>
      </c>
      <c r="I1058" s="72" t="s">
        <v>166</v>
      </c>
    </row>
    <row r="1059" customFormat="false" ht="15" hidden="false" customHeight="false" outlineLevel="0" collapsed="false">
      <c r="A1059" s="72" t="n">
        <v>1055</v>
      </c>
      <c r="B1059" s="72" t="s">
        <v>2573</v>
      </c>
      <c r="C1059" s="72" t="s">
        <v>198</v>
      </c>
      <c r="D1059" s="73" t="s">
        <v>2531</v>
      </c>
      <c r="E1059" s="73" t="s">
        <v>617</v>
      </c>
      <c r="F1059" s="72" t="s">
        <v>2248</v>
      </c>
      <c r="G1059" s="74" t="n">
        <v>4210</v>
      </c>
      <c r="H1059" s="75" t="s">
        <v>2574</v>
      </c>
      <c r="I1059" s="72" t="s">
        <v>166</v>
      </c>
    </row>
    <row r="1060" customFormat="false" ht="15" hidden="false" customHeight="false" outlineLevel="0" collapsed="false">
      <c r="A1060" s="72" t="n">
        <v>1056</v>
      </c>
      <c r="B1060" s="72" t="s">
        <v>2575</v>
      </c>
      <c r="C1060" s="72" t="s">
        <v>198</v>
      </c>
      <c r="D1060" s="73" t="s">
        <v>2531</v>
      </c>
      <c r="E1060" s="73" t="s">
        <v>617</v>
      </c>
      <c r="F1060" s="72" t="s">
        <v>2248</v>
      </c>
      <c r="G1060" s="74" t="n">
        <v>2477</v>
      </c>
      <c r="H1060" s="75" t="s">
        <v>2576</v>
      </c>
      <c r="I1060" s="72" t="s">
        <v>166</v>
      </c>
    </row>
    <row r="1061" customFormat="false" ht="15" hidden="false" customHeight="false" outlineLevel="0" collapsed="false">
      <c r="A1061" s="72" t="n">
        <v>1057</v>
      </c>
      <c r="B1061" s="72" t="s">
        <v>2577</v>
      </c>
      <c r="C1061" s="72" t="s">
        <v>198</v>
      </c>
      <c r="D1061" s="73" t="s">
        <v>2531</v>
      </c>
      <c r="E1061" s="73" t="s">
        <v>617</v>
      </c>
      <c r="F1061" s="72" t="s">
        <v>2248</v>
      </c>
      <c r="G1061" s="74" t="n">
        <v>1562</v>
      </c>
      <c r="H1061" s="75" t="s">
        <v>2578</v>
      </c>
      <c r="I1061" s="72" t="s">
        <v>166</v>
      </c>
    </row>
    <row r="1062" customFormat="false" ht="15" hidden="false" customHeight="false" outlineLevel="0" collapsed="false">
      <c r="A1062" s="72" t="n">
        <v>1058</v>
      </c>
      <c r="B1062" s="72" t="s">
        <v>2579</v>
      </c>
      <c r="C1062" s="72" t="s">
        <v>198</v>
      </c>
      <c r="D1062" s="73" t="s">
        <v>2531</v>
      </c>
      <c r="E1062" s="73" t="s">
        <v>617</v>
      </c>
      <c r="F1062" s="72" t="s">
        <v>2248</v>
      </c>
      <c r="G1062" s="74" t="n">
        <v>4118</v>
      </c>
      <c r="H1062" s="75" t="s">
        <v>2580</v>
      </c>
      <c r="I1062" s="72" t="s">
        <v>166</v>
      </c>
    </row>
    <row r="1063" customFormat="false" ht="15" hidden="false" customHeight="false" outlineLevel="0" collapsed="false">
      <c r="A1063" s="72" t="n">
        <v>1059</v>
      </c>
      <c r="B1063" s="72" t="s">
        <v>2581</v>
      </c>
      <c r="C1063" s="72" t="s">
        <v>198</v>
      </c>
      <c r="D1063" s="73" t="s">
        <v>2531</v>
      </c>
      <c r="E1063" s="73" t="s">
        <v>866</v>
      </c>
      <c r="F1063" s="72" t="s">
        <v>867</v>
      </c>
      <c r="G1063" s="74" t="n">
        <v>33136</v>
      </c>
      <c r="H1063" s="75" t="s">
        <v>2582</v>
      </c>
      <c r="I1063" s="72" t="s">
        <v>166</v>
      </c>
    </row>
    <row r="1064" customFormat="false" ht="15" hidden="false" customHeight="false" outlineLevel="0" collapsed="false">
      <c r="A1064" s="72" t="n">
        <v>1060</v>
      </c>
      <c r="B1064" s="72" t="s">
        <v>2583</v>
      </c>
      <c r="C1064" s="72" t="s">
        <v>201</v>
      </c>
      <c r="D1064" s="72" t="s">
        <v>1865</v>
      </c>
      <c r="E1064" s="73" t="s">
        <v>722</v>
      </c>
      <c r="F1064" s="72" t="s">
        <v>843</v>
      </c>
      <c r="G1064" s="74" t="n">
        <v>145844</v>
      </c>
      <c r="H1064" s="75" t="s">
        <v>852</v>
      </c>
      <c r="I1064" s="72" t="s">
        <v>166</v>
      </c>
    </row>
    <row r="1065" customFormat="false" ht="15" hidden="false" customHeight="false" outlineLevel="0" collapsed="false">
      <c r="A1065" s="72" t="n">
        <v>1061</v>
      </c>
      <c r="B1065" s="72" t="s">
        <v>2584</v>
      </c>
      <c r="C1065" s="72" t="s">
        <v>201</v>
      </c>
      <c r="D1065" s="72" t="s">
        <v>1865</v>
      </c>
      <c r="E1065" s="73" t="s">
        <v>722</v>
      </c>
      <c r="F1065" s="72" t="s">
        <v>843</v>
      </c>
      <c r="G1065" s="74" t="n">
        <v>74190</v>
      </c>
      <c r="H1065" s="75" t="s">
        <v>856</v>
      </c>
      <c r="I1065" s="72" t="s">
        <v>166</v>
      </c>
    </row>
    <row r="1066" customFormat="false" ht="15" hidden="false" customHeight="false" outlineLevel="0" collapsed="false">
      <c r="A1066" s="72" t="n">
        <v>1062</v>
      </c>
      <c r="B1066" s="72" t="s">
        <v>2585</v>
      </c>
      <c r="C1066" s="72" t="s">
        <v>204</v>
      </c>
      <c r="D1066" s="72" t="s">
        <v>1871</v>
      </c>
      <c r="E1066" s="73" t="s">
        <v>722</v>
      </c>
      <c r="F1066" s="72" t="s">
        <v>843</v>
      </c>
      <c r="G1066" s="74" t="n">
        <v>114152</v>
      </c>
      <c r="H1066" s="75" t="s">
        <v>850</v>
      </c>
      <c r="I1066" s="72" t="s">
        <v>166</v>
      </c>
    </row>
    <row r="1067" customFormat="false" ht="15" hidden="false" customHeight="false" outlineLevel="0" collapsed="false">
      <c r="A1067" s="72" t="n">
        <v>1063</v>
      </c>
      <c r="B1067" s="72" t="s">
        <v>2586</v>
      </c>
      <c r="C1067" s="72" t="s">
        <v>207</v>
      </c>
      <c r="D1067" s="72" t="s">
        <v>1878</v>
      </c>
      <c r="E1067" s="73" t="s">
        <v>722</v>
      </c>
      <c r="F1067" s="72" t="s">
        <v>843</v>
      </c>
      <c r="G1067" s="74" t="n">
        <v>123836</v>
      </c>
      <c r="H1067" s="75" t="s">
        <v>846</v>
      </c>
      <c r="I1067" s="72" t="s">
        <v>166</v>
      </c>
    </row>
    <row r="1068" customFormat="false" ht="15" hidden="false" customHeight="false" outlineLevel="0" collapsed="false">
      <c r="A1068" s="72" t="n">
        <v>1064</v>
      </c>
      <c r="B1068" s="72" t="s">
        <v>2587</v>
      </c>
      <c r="C1068" s="72" t="s">
        <v>210</v>
      </c>
      <c r="D1068" s="72" t="s">
        <v>1945</v>
      </c>
      <c r="E1068" s="73" t="s">
        <v>722</v>
      </c>
      <c r="F1068" s="72" t="s">
        <v>843</v>
      </c>
      <c r="G1068" s="74" t="n">
        <v>117380</v>
      </c>
      <c r="H1068" s="75" t="s">
        <v>848</v>
      </c>
      <c r="I1068" s="72" t="s">
        <v>166</v>
      </c>
    </row>
    <row r="1069" customFormat="false" ht="15" hidden="false" customHeight="false" outlineLevel="0" collapsed="false">
      <c r="A1069" s="72" t="n">
        <v>1065</v>
      </c>
      <c r="B1069" s="72" t="s">
        <v>2588</v>
      </c>
      <c r="C1069" s="72" t="s">
        <v>213</v>
      </c>
      <c r="D1069" s="72" t="s">
        <v>1970</v>
      </c>
      <c r="E1069" s="73" t="s">
        <v>254</v>
      </c>
      <c r="F1069" s="72" t="s">
        <v>583</v>
      </c>
      <c r="G1069" s="74" t="n">
        <v>1707</v>
      </c>
      <c r="H1069" s="75" t="s">
        <v>2589</v>
      </c>
      <c r="I1069" s="72" t="s">
        <v>166</v>
      </c>
    </row>
    <row r="1070" customFormat="false" ht="15" hidden="false" customHeight="false" outlineLevel="0" collapsed="false">
      <c r="A1070" s="72" t="n">
        <v>1066</v>
      </c>
      <c r="B1070" s="72" t="s">
        <v>2590</v>
      </c>
      <c r="C1070" s="72" t="s">
        <v>213</v>
      </c>
      <c r="D1070" s="72" t="s">
        <v>1970</v>
      </c>
      <c r="E1070" s="73" t="s">
        <v>722</v>
      </c>
      <c r="F1070" s="72" t="s">
        <v>843</v>
      </c>
      <c r="G1070" s="74" t="n">
        <v>104682</v>
      </c>
      <c r="H1070" s="75" t="s">
        <v>844</v>
      </c>
      <c r="I1070" s="72" t="s">
        <v>166</v>
      </c>
    </row>
    <row r="1071" customFormat="false" ht="15" hidden="false" customHeight="false" outlineLevel="0" collapsed="false">
      <c r="A1071" s="72" t="n">
        <v>1067</v>
      </c>
      <c r="B1071" s="72" t="s">
        <v>2591</v>
      </c>
      <c r="C1071" s="72" t="s">
        <v>174</v>
      </c>
      <c r="D1071" s="72" t="s">
        <v>2592</v>
      </c>
      <c r="E1071" s="73" t="s">
        <v>617</v>
      </c>
      <c r="F1071" s="72" t="s">
        <v>2248</v>
      </c>
      <c r="G1071" s="74" t="n">
        <v>3595</v>
      </c>
      <c r="H1071" s="75" t="s">
        <v>2593</v>
      </c>
      <c r="I1071" s="72" t="s">
        <v>166</v>
      </c>
    </row>
    <row r="1072" customFormat="false" ht="15" hidden="false" customHeight="false" outlineLevel="0" collapsed="false">
      <c r="A1072" s="72" t="n">
        <v>1068</v>
      </c>
      <c r="B1072" s="72" t="s">
        <v>2594</v>
      </c>
      <c r="C1072" s="72" t="s">
        <v>174</v>
      </c>
      <c r="D1072" s="72" t="s">
        <v>2592</v>
      </c>
      <c r="E1072" s="73" t="s">
        <v>866</v>
      </c>
      <c r="F1072" s="72" t="s">
        <v>867</v>
      </c>
      <c r="G1072" s="74" t="n">
        <v>3652</v>
      </c>
      <c r="H1072" s="75" t="s">
        <v>2595</v>
      </c>
      <c r="I1072" s="72" t="s">
        <v>166</v>
      </c>
    </row>
    <row r="1073" customFormat="false" ht="15" hidden="false" customHeight="false" outlineLevel="0" collapsed="false">
      <c r="A1073" s="72" t="n">
        <v>1069</v>
      </c>
      <c r="B1073" s="72" t="s">
        <v>2596</v>
      </c>
      <c r="C1073" s="72" t="s">
        <v>174</v>
      </c>
      <c r="D1073" s="72" t="s">
        <v>2592</v>
      </c>
      <c r="E1073" s="73" t="s">
        <v>617</v>
      </c>
      <c r="F1073" s="72" t="s">
        <v>2248</v>
      </c>
      <c r="G1073" s="74" t="n">
        <v>6672</v>
      </c>
      <c r="H1073" s="75" t="s">
        <v>2597</v>
      </c>
      <c r="I1073" s="72" t="s">
        <v>166</v>
      </c>
    </row>
    <row r="1074" customFormat="false" ht="15" hidden="false" customHeight="false" outlineLevel="0" collapsed="false">
      <c r="A1074" s="72" t="n">
        <v>1070</v>
      </c>
      <c r="B1074" s="72" t="s">
        <v>2598</v>
      </c>
      <c r="C1074" s="72" t="s">
        <v>174</v>
      </c>
      <c r="D1074" s="72" t="s">
        <v>2592</v>
      </c>
      <c r="E1074" s="73" t="s">
        <v>617</v>
      </c>
      <c r="F1074" s="72" t="s">
        <v>834</v>
      </c>
      <c r="G1074" s="74" t="n">
        <v>1090</v>
      </c>
      <c r="H1074" s="75" t="s">
        <v>2599</v>
      </c>
      <c r="I1074" s="72" t="s">
        <v>166</v>
      </c>
    </row>
    <row r="1075" customFormat="false" ht="15" hidden="false" customHeight="false" outlineLevel="0" collapsed="false">
      <c r="A1075" s="72" t="n">
        <v>1071</v>
      </c>
      <c r="B1075" s="72" t="s">
        <v>2600</v>
      </c>
      <c r="C1075" s="72" t="s">
        <v>174</v>
      </c>
      <c r="D1075" s="72" t="s">
        <v>2592</v>
      </c>
      <c r="E1075" s="73" t="s">
        <v>617</v>
      </c>
      <c r="F1075" s="72" t="s">
        <v>834</v>
      </c>
      <c r="G1075" s="74" t="n">
        <v>2418</v>
      </c>
      <c r="H1075" s="75" t="s">
        <v>2601</v>
      </c>
      <c r="I1075" s="72" t="s">
        <v>166</v>
      </c>
    </row>
    <row r="1076" customFormat="false" ht="15" hidden="false" customHeight="false" outlineLevel="0" collapsed="false">
      <c r="A1076" s="72" t="n">
        <v>1072</v>
      </c>
      <c r="B1076" s="72" t="s">
        <v>2602</v>
      </c>
      <c r="C1076" s="72" t="s">
        <v>174</v>
      </c>
      <c r="D1076" s="72" t="s">
        <v>2592</v>
      </c>
      <c r="E1076" s="73" t="s">
        <v>617</v>
      </c>
      <c r="F1076" s="72" t="s">
        <v>2248</v>
      </c>
      <c r="G1076" s="74" t="n">
        <v>3315</v>
      </c>
      <c r="H1076" s="75" t="s">
        <v>2603</v>
      </c>
      <c r="I1076" s="72" t="s">
        <v>166</v>
      </c>
    </row>
    <row r="1077" customFormat="false" ht="15" hidden="false" customHeight="false" outlineLevel="0" collapsed="false">
      <c r="A1077" s="72" t="n">
        <v>1073</v>
      </c>
      <c r="B1077" s="72" t="s">
        <v>2604</v>
      </c>
      <c r="C1077" s="72" t="s">
        <v>177</v>
      </c>
      <c r="D1077" s="73" t="s">
        <v>2605</v>
      </c>
      <c r="E1077" s="73" t="s">
        <v>866</v>
      </c>
      <c r="F1077" s="72" t="s">
        <v>867</v>
      </c>
      <c r="G1077" s="74" t="n">
        <v>2786</v>
      </c>
      <c r="H1077" s="75" t="s">
        <v>2606</v>
      </c>
      <c r="I1077" s="72" t="s">
        <v>166</v>
      </c>
    </row>
    <row r="1078" customFormat="false" ht="15" hidden="false" customHeight="false" outlineLevel="0" collapsed="false">
      <c r="A1078" s="72" t="n">
        <v>1074</v>
      </c>
      <c r="B1078" s="72" t="s">
        <v>2607</v>
      </c>
      <c r="C1078" s="72" t="s">
        <v>177</v>
      </c>
      <c r="D1078" s="73" t="s">
        <v>2605</v>
      </c>
      <c r="E1078" s="73" t="s">
        <v>617</v>
      </c>
      <c r="F1078" s="72" t="s">
        <v>2248</v>
      </c>
      <c r="G1078" s="74" t="n">
        <v>2799</v>
      </c>
      <c r="H1078" s="75" t="s">
        <v>2608</v>
      </c>
      <c r="I1078" s="72" t="s">
        <v>166</v>
      </c>
    </row>
    <row r="1079" customFormat="false" ht="15" hidden="false" customHeight="false" outlineLevel="0" collapsed="false">
      <c r="A1079" s="72" t="n">
        <v>1075</v>
      </c>
      <c r="B1079" s="72" t="s">
        <v>2609</v>
      </c>
      <c r="C1079" s="72" t="s">
        <v>177</v>
      </c>
      <c r="D1079" s="73" t="s">
        <v>2605</v>
      </c>
      <c r="E1079" s="73" t="s">
        <v>866</v>
      </c>
      <c r="F1079" s="72" t="s">
        <v>867</v>
      </c>
      <c r="G1079" s="74" t="n">
        <v>4264</v>
      </c>
      <c r="H1079" s="75" t="s">
        <v>2610</v>
      </c>
      <c r="I1079" s="72" t="s">
        <v>166</v>
      </c>
    </row>
    <row r="1080" customFormat="false" ht="15" hidden="false" customHeight="false" outlineLevel="0" collapsed="false">
      <c r="A1080" s="72" t="n">
        <v>1076</v>
      </c>
      <c r="B1080" s="72" t="s">
        <v>2611</v>
      </c>
      <c r="C1080" s="72" t="s">
        <v>177</v>
      </c>
      <c r="D1080" s="73" t="s">
        <v>2605</v>
      </c>
      <c r="E1080" s="73" t="s">
        <v>617</v>
      </c>
      <c r="F1080" s="72" t="s">
        <v>2248</v>
      </c>
      <c r="G1080" s="74" t="n">
        <v>4311</v>
      </c>
      <c r="H1080" s="75" t="s">
        <v>2612</v>
      </c>
      <c r="I1080" s="72" t="s">
        <v>166</v>
      </c>
    </row>
    <row r="1081" customFormat="false" ht="15" hidden="false" customHeight="false" outlineLevel="0" collapsed="false">
      <c r="A1081" s="72" t="n">
        <v>1077</v>
      </c>
      <c r="B1081" s="72" t="s">
        <v>2613</v>
      </c>
      <c r="C1081" s="72" t="s">
        <v>177</v>
      </c>
      <c r="D1081" s="73" t="s">
        <v>2605</v>
      </c>
      <c r="E1081" s="73" t="s">
        <v>617</v>
      </c>
      <c r="F1081" s="72" t="s">
        <v>834</v>
      </c>
      <c r="G1081" s="74" t="n">
        <v>2350</v>
      </c>
      <c r="H1081" s="75" t="s">
        <v>2614</v>
      </c>
      <c r="I1081" s="72" t="s">
        <v>166</v>
      </c>
    </row>
    <row r="1082" customFormat="false" ht="15" hidden="false" customHeight="false" outlineLevel="0" collapsed="false">
      <c r="A1082" s="72" t="n">
        <v>1078</v>
      </c>
      <c r="B1082" s="72" t="s">
        <v>2615</v>
      </c>
      <c r="C1082" s="72" t="s">
        <v>177</v>
      </c>
      <c r="D1082" s="73" t="s">
        <v>2605</v>
      </c>
      <c r="E1082" s="73" t="s">
        <v>617</v>
      </c>
      <c r="F1082" s="72" t="s">
        <v>834</v>
      </c>
      <c r="G1082" s="74" t="n">
        <v>2062</v>
      </c>
      <c r="H1082" s="75" t="s">
        <v>2616</v>
      </c>
      <c r="I1082" s="72" t="s">
        <v>166</v>
      </c>
    </row>
    <row r="1083" customFormat="false" ht="15" hidden="false" customHeight="false" outlineLevel="0" collapsed="false">
      <c r="A1083" s="72" t="n">
        <v>1079</v>
      </c>
      <c r="B1083" s="72" t="s">
        <v>2617</v>
      </c>
      <c r="C1083" s="72" t="s">
        <v>177</v>
      </c>
      <c r="D1083" s="73" t="s">
        <v>2605</v>
      </c>
      <c r="E1083" s="73" t="s">
        <v>617</v>
      </c>
      <c r="F1083" s="72" t="s">
        <v>834</v>
      </c>
      <c r="G1083" s="74" t="n">
        <v>1570</v>
      </c>
      <c r="H1083" s="75" t="s">
        <v>2618</v>
      </c>
      <c r="I1083" s="72" t="s">
        <v>166</v>
      </c>
    </row>
    <row r="1084" customFormat="false" ht="15" hidden="false" customHeight="false" outlineLevel="0" collapsed="false">
      <c r="A1084" s="72" t="n">
        <v>1080</v>
      </c>
      <c r="B1084" s="72" t="s">
        <v>2619</v>
      </c>
      <c r="C1084" s="72" t="s">
        <v>177</v>
      </c>
      <c r="D1084" s="73" t="s">
        <v>2605</v>
      </c>
      <c r="E1084" s="73" t="s">
        <v>617</v>
      </c>
      <c r="F1084" s="72" t="s">
        <v>2248</v>
      </c>
      <c r="G1084" s="74" t="n">
        <v>763</v>
      </c>
      <c r="H1084" s="75" t="s">
        <v>2620</v>
      </c>
      <c r="I1084" s="72" t="s">
        <v>166</v>
      </c>
    </row>
    <row r="1085" customFormat="false" ht="15" hidden="false" customHeight="false" outlineLevel="0" collapsed="false">
      <c r="A1085" s="72" t="n">
        <v>1081</v>
      </c>
      <c r="B1085" s="72" t="s">
        <v>2621</v>
      </c>
      <c r="C1085" s="72" t="s">
        <v>177</v>
      </c>
      <c r="D1085" s="73" t="s">
        <v>2605</v>
      </c>
      <c r="E1085" s="73" t="s">
        <v>617</v>
      </c>
      <c r="F1085" s="72" t="s">
        <v>2248</v>
      </c>
      <c r="G1085" s="74" t="n">
        <v>148</v>
      </c>
      <c r="H1085" s="75" t="s">
        <v>2622</v>
      </c>
      <c r="I1085" s="72" t="s">
        <v>166</v>
      </c>
    </row>
    <row r="1086" customFormat="false" ht="15" hidden="false" customHeight="false" outlineLevel="0" collapsed="false">
      <c r="A1086" s="72" t="n">
        <v>1082</v>
      </c>
      <c r="B1086" s="72" t="s">
        <v>2623</v>
      </c>
      <c r="C1086" s="72" t="s">
        <v>177</v>
      </c>
      <c r="D1086" s="73" t="s">
        <v>2605</v>
      </c>
      <c r="E1086" s="73" t="s">
        <v>617</v>
      </c>
      <c r="F1086" s="72" t="s">
        <v>2248</v>
      </c>
      <c r="G1086" s="74" t="n">
        <v>400</v>
      </c>
      <c r="H1086" s="75" t="s">
        <v>2624</v>
      </c>
      <c r="I1086" s="72" t="s">
        <v>166</v>
      </c>
    </row>
    <row r="1087" customFormat="false" ht="15" hidden="false" customHeight="false" outlineLevel="0" collapsed="false">
      <c r="A1087" s="72" t="n">
        <v>1083</v>
      </c>
      <c r="B1087" s="72" t="s">
        <v>2625</v>
      </c>
      <c r="C1087" s="72" t="s">
        <v>177</v>
      </c>
      <c r="D1087" s="73" t="s">
        <v>2605</v>
      </c>
      <c r="E1087" s="73" t="s">
        <v>866</v>
      </c>
      <c r="F1087" s="72" t="s">
        <v>867</v>
      </c>
      <c r="G1087" s="74" t="n">
        <v>3943</v>
      </c>
      <c r="H1087" s="75" t="s">
        <v>2626</v>
      </c>
      <c r="I1087" s="72" t="s">
        <v>166</v>
      </c>
    </row>
    <row r="1088" customFormat="false" ht="15" hidden="false" customHeight="false" outlineLevel="0" collapsed="false">
      <c r="A1088" s="72" t="n">
        <v>1084</v>
      </c>
      <c r="B1088" s="72" t="s">
        <v>2627</v>
      </c>
      <c r="C1088" s="72" t="s">
        <v>177</v>
      </c>
      <c r="D1088" s="73" t="s">
        <v>2605</v>
      </c>
      <c r="E1088" s="73" t="s">
        <v>617</v>
      </c>
      <c r="F1088" s="72" t="s">
        <v>2248</v>
      </c>
      <c r="G1088" s="74" t="n">
        <v>4264</v>
      </c>
      <c r="H1088" s="75" t="s">
        <v>2628</v>
      </c>
      <c r="I1088" s="72" t="s">
        <v>166</v>
      </c>
    </row>
    <row r="1089" customFormat="false" ht="15" hidden="false" customHeight="false" outlineLevel="0" collapsed="false">
      <c r="A1089" s="72" t="n">
        <v>1085</v>
      </c>
      <c r="B1089" s="72" t="s">
        <v>2629</v>
      </c>
      <c r="C1089" s="72" t="s">
        <v>177</v>
      </c>
      <c r="D1089" s="73" t="s">
        <v>2605</v>
      </c>
      <c r="E1089" s="73" t="s">
        <v>617</v>
      </c>
      <c r="F1089" s="72" t="s">
        <v>2248</v>
      </c>
      <c r="G1089" s="74" t="n">
        <v>1223</v>
      </c>
      <c r="H1089" s="75" t="s">
        <v>2630</v>
      </c>
      <c r="I1089" s="72" t="s">
        <v>166</v>
      </c>
    </row>
    <row r="1090" customFormat="false" ht="15" hidden="false" customHeight="false" outlineLevel="0" collapsed="false">
      <c r="A1090" s="72" t="n">
        <v>1086</v>
      </c>
      <c r="B1090" s="72" t="s">
        <v>2631</v>
      </c>
      <c r="C1090" s="72" t="s">
        <v>177</v>
      </c>
      <c r="D1090" s="73" t="s">
        <v>2605</v>
      </c>
      <c r="E1090" s="73" t="s">
        <v>866</v>
      </c>
      <c r="F1090" s="72" t="s">
        <v>867</v>
      </c>
      <c r="G1090" s="74" t="n">
        <v>4504</v>
      </c>
      <c r="H1090" s="75" t="s">
        <v>2632</v>
      </c>
      <c r="I1090" s="72" t="s">
        <v>166</v>
      </c>
    </row>
    <row r="1091" customFormat="false" ht="15" hidden="false" customHeight="false" outlineLevel="0" collapsed="false">
      <c r="A1091" s="72" t="n">
        <v>1087</v>
      </c>
      <c r="B1091" s="72" t="s">
        <v>2633</v>
      </c>
      <c r="C1091" s="72" t="s">
        <v>177</v>
      </c>
      <c r="D1091" s="73" t="s">
        <v>2605</v>
      </c>
      <c r="E1091" s="73" t="s">
        <v>617</v>
      </c>
      <c r="F1091" s="72" t="s">
        <v>2248</v>
      </c>
      <c r="G1091" s="74" t="n">
        <v>5774</v>
      </c>
      <c r="H1091" s="75" t="s">
        <v>2634</v>
      </c>
      <c r="I1091" s="72" t="s">
        <v>166</v>
      </c>
    </row>
    <row r="1092" customFormat="false" ht="15" hidden="false" customHeight="false" outlineLevel="0" collapsed="false">
      <c r="A1092" s="72" t="n">
        <v>1088</v>
      </c>
      <c r="B1092" s="72" t="s">
        <v>2635</v>
      </c>
      <c r="C1092" s="72" t="s">
        <v>177</v>
      </c>
      <c r="D1092" s="73" t="s">
        <v>2605</v>
      </c>
      <c r="E1092" s="73" t="s">
        <v>866</v>
      </c>
      <c r="F1092" s="72" t="s">
        <v>867</v>
      </c>
      <c r="G1092" s="74" t="n">
        <v>4655</v>
      </c>
      <c r="H1092" s="75" t="s">
        <v>2636</v>
      </c>
      <c r="I1092" s="72" t="s">
        <v>166</v>
      </c>
    </row>
    <row r="1093" customFormat="false" ht="15" hidden="false" customHeight="false" outlineLevel="0" collapsed="false">
      <c r="A1093" s="72" t="n">
        <v>1089</v>
      </c>
      <c r="B1093" s="72" t="s">
        <v>2637</v>
      </c>
      <c r="C1093" s="72" t="s">
        <v>177</v>
      </c>
      <c r="D1093" s="73" t="s">
        <v>2605</v>
      </c>
      <c r="E1093" s="73" t="s">
        <v>617</v>
      </c>
      <c r="F1093" s="72" t="s">
        <v>2248</v>
      </c>
      <c r="G1093" s="74" t="n">
        <v>3464</v>
      </c>
      <c r="H1093" s="75" t="s">
        <v>2638</v>
      </c>
      <c r="I1093" s="72" t="s">
        <v>166</v>
      </c>
    </row>
    <row r="1094" customFormat="false" ht="15" hidden="false" customHeight="false" outlineLevel="0" collapsed="false">
      <c r="A1094" s="72" t="n">
        <v>1090</v>
      </c>
      <c r="B1094" s="72" t="s">
        <v>2639</v>
      </c>
      <c r="C1094" s="72" t="s">
        <v>210</v>
      </c>
      <c r="D1094" s="72" t="s">
        <v>1945</v>
      </c>
      <c r="E1094" s="73" t="s">
        <v>617</v>
      </c>
      <c r="F1094" s="72" t="s">
        <v>834</v>
      </c>
      <c r="G1094" s="74" t="n">
        <v>8196</v>
      </c>
      <c r="H1094" s="75" t="s">
        <v>2640</v>
      </c>
      <c r="I1094" s="72" t="s">
        <v>166</v>
      </c>
    </row>
    <row r="1095" customFormat="false" ht="15" hidden="false" customHeight="false" outlineLevel="0" collapsed="false">
      <c r="A1095" s="72" t="n">
        <v>1091</v>
      </c>
      <c r="B1095" s="72" t="s">
        <v>2641</v>
      </c>
      <c r="C1095" s="72" t="s">
        <v>210</v>
      </c>
      <c r="D1095" s="72" t="s">
        <v>1945</v>
      </c>
      <c r="E1095" s="73" t="s">
        <v>617</v>
      </c>
      <c r="F1095" s="72" t="s">
        <v>834</v>
      </c>
      <c r="G1095" s="74" t="n">
        <v>12797</v>
      </c>
      <c r="H1095" s="75" t="s">
        <v>2642</v>
      </c>
      <c r="I1095" s="72" t="s">
        <v>166</v>
      </c>
    </row>
    <row r="1096" customFormat="false" ht="15" hidden="false" customHeight="false" outlineLevel="0" collapsed="false">
      <c r="A1096" s="72" t="n">
        <v>1092</v>
      </c>
      <c r="B1096" s="72" t="s">
        <v>2643</v>
      </c>
      <c r="C1096" s="72" t="s">
        <v>210</v>
      </c>
      <c r="D1096" s="72" t="s">
        <v>1945</v>
      </c>
      <c r="E1096" s="73" t="s">
        <v>617</v>
      </c>
      <c r="F1096" s="72" t="s">
        <v>834</v>
      </c>
      <c r="G1096" s="74" t="n">
        <v>13817</v>
      </c>
      <c r="H1096" s="75" t="s">
        <v>2644</v>
      </c>
      <c r="I1096" s="72" t="s">
        <v>166</v>
      </c>
    </row>
    <row r="1097" customFormat="false" ht="15" hidden="false" customHeight="false" outlineLevel="0" collapsed="false">
      <c r="A1097" s="72" t="n">
        <v>1093</v>
      </c>
      <c r="B1097" s="72" t="s">
        <v>2645</v>
      </c>
      <c r="C1097" s="72" t="s">
        <v>210</v>
      </c>
      <c r="D1097" s="72" t="s">
        <v>1945</v>
      </c>
      <c r="E1097" s="73" t="s">
        <v>617</v>
      </c>
      <c r="F1097" s="72" t="s">
        <v>834</v>
      </c>
      <c r="G1097" s="74" t="n">
        <v>9492</v>
      </c>
      <c r="H1097" s="75" t="s">
        <v>2646</v>
      </c>
      <c r="I1097" s="72" t="s">
        <v>166</v>
      </c>
    </row>
    <row r="1098" customFormat="false" ht="15" hidden="false" customHeight="false" outlineLevel="0" collapsed="false">
      <c r="A1098" s="72" t="n">
        <v>1094</v>
      </c>
      <c r="B1098" s="72" t="s">
        <v>2647</v>
      </c>
      <c r="C1098" s="72" t="s">
        <v>210</v>
      </c>
      <c r="D1098" s="72" t="s">
        <v>1945</v>
      </c>
      <c r="E1098" s="73" t="s">
        <v>617</v>
      </c>
      <c r="F1098" s="72" t="s">
        <v>834</v>
      </c>
      <c r="G1098" s="74" t="n">
        <v>1559</v>
      </c>
      <c r="H1098" s="75" t="s">
        <v>2648</v>
      </c>
      <c r="I1098" s="72" t="s">
        <v>166</v>
      </c>
    </row>
    <row r="1099" customFormat="false" ht="15" hidden="false" customHeight="false" outlineLevel="0" collapsed="false">
      <c r="A1099" s="72" t="n">
        <v>1095</v>
      </c>
      <c r="B1099" s="72" t="s">
        <v>2649</v>
      </c>
      <c r="C1099" s="72" t="s">
        <v>177</v>
      </c>
      <c r="D1099" s="73" t="s">
        <v>2605</v>
      </c>
      <c r="E1099" s="73" t="s">
        <v>617</v>
      </c>
      <c r="F1099" s="72" t="s">
        <v>834</v>
      </c>
      <c r="G1099" s="74" t="n">
        <v>143538</v>
      </c>
      <c r="H1099" s="75" t="s">
        <v>2650</v>
      </c>
      <c r="I1099" s="72" t="s">
        <v>166</v>
      </c>
    </row>
    <row r="1100" customFormat="false" ht="15" hidden="false" customHeight="false" outlineLevel="0" collapsed="false">
      <c r="A1100" s="72" t="n">
        <v>1096</v>
      </c>
      <c r="B1100" s="72" t="s">
        <v>2651</v>
      </c>
      <c r="C1100" s="72" t="s">
        <v>177</v>
      </c>
      <c r="D1100" s="73" t="s">
        <v>2605</v>
      </c>
      <c r="E1100" s="73" t="s">
        <v>617</v>
      </c>
      <c r="F1100" s="72" t="s">
        <v>834</v>
      </c>
      <c r="G1100" s="74" t="n">
        <v>92338</v>
      </c>
      <c r="H1100" s="75" t="s">
        <v>2652</v>
      </c>
      <c r="I1100" s="72" t="s">
        <v>166</v>
      </c>
    </row>
    <row r="1101" customFormat="false" ht="15" hidden="false" customHeight="false" outlineLevel="0" collapsed="false">
      <c r="A1101" s="72" t="n">
        <v>1097</v>
      </c>
      <c r="B1101" s="72" t="s">
        <v>2653</v>
      </c>
      <c r="C1101" s="72" t="s">
        <v>177</v>
      </c>
      <c r="D1101" s="73" t="s">
        <v>2605</v>
      </c>
      <c r="E1101" s="73" t="s">
        <v>617</v>
      </c>
      <c r="F1101" s="72" t="s">
        <v>834</v>
      </c>
      <c r="G1101" s="74" t="n">
        <v>196596</v>
      </c>
      <c r="H1101" s="75" t="s">
        <v>2654</v>
      </c>
      <c r="I1101" s="72" t="s">
        <v>166</v>
      </c>
    </row>
    <row r="1102" customFormat="false" ht="15" hidden="false" customHeight="false" outlineLevel="0" collapsed="false">
      <c r="A1102" s="72" t="n">
        <v>1098</v>
      </c>
      <c r="B1102" s="72" t="s">
        <v>2655</v>
      </c>
      <c r="C1102" s="72" t="s">
        <v>207</v>
      </c>
      <c r="D1102" s="72" t="s">
        <v>1878</v>
      </c>
      <c r="E1102" s="73" t="s">
        <v>617</v>
      </c>
      <c r="F1102" s="72" t="s">
        <v>834</v>
      </c>
      <c r="G1102" s="74" t="n">
        <v>8666</v>
      </c>
      <c r="H1102" s="75" t="s">
        <v>2656</v>
      </c>
      <c r="I1102" s="72" t="s">
        <v>166</v>
      </c>
    </row>
    <row r="1103" customFormat="false" ht="15" hidden="false" customHeight="false" outlineLevel="0" collapsed="false">
      <c r="A1103" s="72" t="n">
        <v>1099</v>
      </c>
      <c r="B1103" s="72" t="s">
        <v>2657</v>
      </c>
      <c r="C1103" s="72" t="s">
        <v>207</v>
      </c>
      <c r="D1103" s="72" t="s">
        <v>1878</v>
      </c>
      <c r="E1103" s="73" t="s">
        <v>617</v>
      </c>
      <c r="F1103" s="72" t="s">
        <v>834</v>
      </c>
      <c r="G1103" s="74" t="n">
        <v>29686</v>
      </c>
      <c r="H1103" s="75" t="s">
        <v>2658</v>
      </c>
      <c r="I1103" s="72" t="s">
        <v>166</v>
      </c>
    </row>
    <row r="1104" customFormat="false" ht="15" hidden="false" customHeight="false" outlineLevel="0" collapsed="false">
      <c r="A1104" s="72" t="n">
        <v>1100</v>
      </c>
      <c r="B1104" s="72" t="s">
        <v>2659</v>
      </c>
      <c r="C1104" s="72" t="s">
        <v>207</v>
      </c>
      <c r="D1104" s="72" t="s">
        <v>1878</v>
      </c>
      <c r="E1104" s="73" t="s">
        <v>617</v>
      </c>
      <c r="F1104" s="72" t="s">
        <v>834</v>
      </c>
      <c r="G1104" s="74" t="n">
        <v>41866</v>
      </c>
      <c r="H1104" s="75" t="s">
        <v>2660</v>
      </c>
      <c r="I1104" s="72" t="s">
        <v>166</v>
      </c>
    </row>
    <row r="1105" customFormat="false" ht="15" hidden="false" customHeight="false" outlineLevel="0" collapsed="false">
      <c r="A1105" s="72" t="n">
        <v>1101</v>
      </c>
      <c r="B1105" s="72" t="s">
        <v>2661</v>
      </c>
      <c r="C1105" s="72" t="s">
        <v>213</v>
      </c>
      <c r="D1105" s="72" t="s">
        <v>1970</v>
      </c>
      <c r="E1105" s="73" t="s">
        <v>617</v>
      </c>
      <c r="F1105" s="72" t="s">
        <v>834</v>
      </c>
      <c r="G1105" s="74" t="n">
        <v>1439</v>
      </c>
      <c r="H1105" s="75" t="s">
        <v>2662</v>
      </c>
      <c r="I1105" s="72" t="s">
        <v>166</v>
      </c>
    </row>
    <row r="1106" customFormat="false" ht="15" hidden="false" customHeight="false" outlineLevel="0" collapsed="false">
      <c r="A1106" s="72" t="n">
        <v>1102</v>
      </c>
      <c r="B1106" s="72" t="s">
        <v>2663</v>
      </c>
      <c r="C1106" s="72" t="s">
        <v>213</v>
      </c>
      <c r="D1106" s="72" t="s">
        <v>1970</v>
      </c>
      <c r="E1106" s="73" t="s">
        <v>617</v>
      </c>
      <c r="F1106" s="72" t="s">
        <v>834</v>
      </c>
      <c r="G1106" s="74" t="n">
        <v>20236</v>
      </c>
      <c r="H1106" s="75" t="s">
        <v>2664</v>
      </c>
      <c r="I1106" s="72" t="s">
        <v>166</v>
      </c>
    </row>
    <row r="1107" customFormat="false" ht="15" hidden="false" customHeight="false" outlineLevel="0" collapsed="false">
      <c r="A1107" s="72" t="n">
        <v>1103</v>
      </c>
      <c r="B1107" s="72" t="s">
        <v>2665</v>
      </c>
      <c r="C1107" s="72" t="s">
        <v>213</v>
      </c>
      <c r="D1107" s="72" t="s">
        <v>1970</v>
      </c>
      <c r="E1107" s="73" t="s">
        <v>617</v>
      </c>
      <c r="F1107" s="72" t="s">
        <v>834</v>
      </c>
      <c r="G1107" s="74" t="n">
        <v>663</v>
      </c>
      <c r="H1107" s="75" t="s">
        <v>2666</v>
      </c>
      <c r="I1107" s="72" t="s">
        <v>166</v>
      </c>
    </row>
    <row r="1108" customFormat="false" ht="15" hidden="false" customHeight="false" outlineLevel="0" collapsed="false">
      <c r="A1108" s="72" t="n">
        <v>1104</v>
      </c>
      <c r="B1108" s="72" t="s">
        <v>2667</v>
      </c>
      <c r="C1108" s="72" t="s">
        <v>213</v>
      </c>
      <c r="D1108" s="72" t="s">
        <v>1970</v>
      </c>
      <c r="E1108" s="73" t="s">
        <v>617</v>
      </c>
      <c r="F1108" s="72" t="s">
        <v>834</v>
      </c>
      <c r="G1108" s="74" t="n">
        <v>2031</v>
      </c>
      <c r="H1108" s="75" t="s">
        <v>2668</v>
      </c>
      <c r="I1108" s="72" t="s">
        <v>166</v>
      </c>
    </row>
    <row r="1109" customFormat="false" ht="15" hidden="false" customHeight="false" outlineLevel="0" collapsed="false">
      <c r="A1109" s="72" t="n">
        <v>1105</v>
      </c>
      <c r="B1109" s="72" t="s">
        <v>2669</v>
      </c>
      <c r="C1109" s="72" t="s">
        <v>210</v>
      </c>
      <c r="D1109" s="72" t="s">
        <v>1945</v>
      </c>
      <c r="E1109" s="73" t="s">
        <v>617</v>
      </c>
      <c r="F1109" s="72" t="s">
        <v>834</v>
      </c>
      <c r="G1109" s="74" t="n">
        <v>7144</v>
      </c>
      <c r="H1109" s="75" t="s">
        <v>2670</v>
      </c>
      <c r="I1109" s="72" t="s">
        <v>166</v>
      </c>
    </row>
    <row r="1110" customFormat="false" ht="15" hidden="false" customHeight="false" outlineLevel="0" collapsed="false">
      <c r="A1110" s="72" t="n">
        <v>1106</v>
      </c>
      <c r="B1110" s="72" t="s">
        <v>2671</v>
      </c>
      <c r="C1110" s="72" t="s">
        <v>168</v>
      </c>
      <c r="D1110" s="73" t="s">
        <v>2672</v>
      </c>
      <c r="E1110" s="73" t="s">
        <v>617</v>
      </c>
      <c r="F1110" s="72" t="s">
        <v>834</v>
      </c>
      <c r="G1110" s="74" t="n">
        <v>2136</v>
      </c>
      <c r="H1110" s="75" t="s">
        <v>2673</v>
      </c>
      <c r="I1110" s="72" t="s">
        <v>166</v>
      </c>
    </row>
    <row r="1111" customFormat="false" ht="15" hidden="false" customHeight="false" outlineLevel="0" collapsed="false">
      <c r="A1111" s="72" t="n">
        <v>1107</v>
      </c>
      <c r="B1111" s="72" t="s">
        <v>2674</v>
      </c>
      <c r="C1111" s="72" t="s">
        <v>177</v>
      </c>
      <c r="D1111" s="73" t="s">
        <v>2605</v>
      </c>
      <c r="E1111" s="73" t="s">
        <v>617</v>
      </c>
      <c r="F1111" s="72" t="s">
        <v>834</v>
      </c>
      <c r="G1111" s="74" t="n">
        <v>9505</v>
      </c>
      <c r="H1111" s="75" t="s">
        <v>2675</v>
      </c>
      <c r="I1111" s="72" t="s">
        <v>166</v>
      </c>
    </row>
    <row r="1112" customFormat="false" ht="15" hidden="false" customHeight="false" outlineLevel="0" collapsed="false">
      <c r="A1112" s="72" t="n">
        <v>1108</v>
      </c>
      <c r="B1112" s="72" t="s">
        <v>2676</v>
      </c>
      <c r="C1112" s="72" t="s">
        <v>177</v>
      </c>
      <c r="D1112" s="73" t="s">
        <v>2605</v>
      </c>
      <c r="E1112" s="73" t="s">
        <v>617</v>
      </c>
      <c r="F1112" s="72" t="s">
        <v>834</v>
      </c>
      <c r="G1112" s="74" t="n">
        <v>7442</v>
      </c>
      <c r="H1112" s="75" t="s">
        <v>2677</v>
      </c>
      <c r="I1112" s="72" t="s">
        <v>166</v>
      </c>
    </row>
    <row r="1113" customFormat="false" ht="15" hidden="false" customHeight="false" outlineLevel="0" collapsed="false">
      <c r="A1113" s="72" t="n">
        <v>1109</v>
      </c>
      <c r="B1113" s="72" t="s">
        <v>2678</v>
      </c>
      <c r="C1113" s="72" t="s">
        <v>177</v>
      </c>
      <c r="D1113" s="73" t="s">
        <v>2605</v>
      </c>
      <c r="E1113" s="73" t="s">
        <v>737</v>
      </c>
      <c r="F1113" s="72" t="s">
        <v>834</v>
      </c>
      <c r="G1113" s="74" t="n">
        <v>14880</v>
      </c>
      <c r="H1113" s="75" t="s">
        <v>2679</v>
      </c>
      <c r="I1113" s="72" t="s">
        <v>166</v>
      </c>
    </row>
    <row r="1114" customFormat="false" ht="15" hidden="false" customHeight="false" outlineLevel="0" collapsed="false">
      <c r="A1114" s="72" t="n">
        <v>1110</v>
      </c>
      <c r="B1114" s="72" t="s">
        <v>2680</v>
      </c>
      <c r="C1114" s="72" t="s">
        <v>177</v>
      </c>
      <c r="D1114" s="73" t="s">
        <v>2605</v>
      </c>
      <c r="E1114" s="73" t="s">
        <v>617</v>
      </c>
      <c r="F1114" s="72" t="s">
        <v>834</v>
      </c>
      <c r="G1114" s="74" t="n">
        <v>3079</v>
      </c>
      <c r="H1114" s="75" t="s">
        <v>2681</v>
      </c>
      <c r="I1114" s="72" t="s">
        <v>166</v>
      </c>
    </row>
    <row r="1115" customFormat="false" ht="15" hidden="false" customHeight="false" outlineLevel="0" collapsed="false">
      <c r="A1115" s="72" t="n">
        <v>1111</v>
      </c>
      <c r="B1115" s="72" t="s">
        <v>2682</v>
      </c>
      <c r="C1115" s="72" t="s">
        <v>177</v>
      </c>
      <c r="D1115" s="73" t="s">
        <v>2605</v>
      </c>
      <c r="E1115" s="73" t="s">
        <v>617</v>
      </c>
      <c r="F1115" s="72" t="s">
        <v>834</v>
      </c>
      <c r="G1115" s="74" t="n">
        <v>4284</v>
      </c>
      <c r="H1115" s="75" t="s">
        <v>2683</v>
      </c>
      <c r="I1115" s="72" t="s">
        <v>166</v>
      </c>
    </row>
    <row r="1116" customFormat="false" ht="15" hidden="false" customHeight="false" outlineLevel="0" collapsed="false">
      <c r="A1116" s="72" t="n">
        <v>1112</v>
      </c>
      <c r="B1116" s="72" t="s">
        <v>2684</v>
      </c>
      <c r="C1116" s="72" t="s">
        <v>177</v>
      </c>
      <c r="D1116" s="73" t="s">
        <v>2605</v>
      </c>
      <c r="E1116" s="73" t="s">
        <v>617</v>
      </c>
      <c r="F1116" s="72" t="s">
        <v>834</v>
      </c>
      <c r="G1116" s="74" t="n">
        <v>9175</v>
      </c>
      <c r="H1116" s="75" t="s">
        <v>2685</v>
      </c>
      <c r="I1116" s="72" t="s">
        <v>166</v>
      </c>
    </row>
    <row r="1117" customFormat="false" ht="15" hidden="false" customHeight="false" outlineLevel="0" collapsed="false">
      <c r="A1117" s="72" t="n">
        <v>1113</v>
      </c>
      <c r="B1117" s="72" t="s">
        <v>2686</v>
      </c>
      <c r="C1117" s="72" t="s">
        <v>213</v>
      </c>
      <c r="D1117" s="72" t="s">
        <v>1970</v>
      </c>
      <c r="E1117" s="73" t="s">
        <v>617</v>
      </c>
      <c r="F1117" s="72" t="s">
        <v>834</v>
      </c>
      <c r="G1117" s="74" t="n">
        <v>8368</v>
      </c>
      <c r="H1117" s="75" t="s">
        <v>2687</v>
      </c>
      <c r="I1117" s="72" t="s">
        <v>166</v>
      </c>
    </row>
    <row r="1118" customFormat="false" ht="15" hidden="false" customHeight="false" outlineLevel="0" collapsed="false">
      <c r="A1118" s="72" t="n">
        <v>1114</v>
      </c>
      <c r="B1118" s="72" t="s">
        <v>2688</v>
      </c>
      <c r="C1118" s="72" t="s">
        <v>210</v>
      </c>
      <c r="D1118" s="72" t="s">
        <v>1945</v>
      </c>
      <c r="E1118" s="73" t="s">
        <v>617</v>
      </c>
      <c r="F1118" s="72" t="s">
        <v>834</v>
      </c>
      <c r="G1118" s="74" t="n">
        <v>711</v>
      </c>
      <c r="H1118" s="75" t="s">
        <v>2689</v>
      </c>
      <c r="I1118" s="72" t="s">
        <v>166</v>
      </c>
    </row>
    <row r="1119" customFormat="false" ht="15" hidden="false" customHeight="false" outlineLevel="0" collapsed="false">
      <c r="A1119" s="72" t="n">
        <v>1115</v>
      </c>
      <c r="B1119" s="72" t="s">
        <v>2690</v>
      </c>
      <c r="C1119" s="72" t="s">
        <v>210</v>
      </c>
      <c r="D1119" s="72" t="s">
        <v>1945</v>
      </c>
      <c r="E1119" s="73" t="s">
        <v>617</v>
      </c>
      <c r="F1119" s="72" t="s">
        <v>834</v>
      </c>
      <c r="G1119" s="74" t="n">
        <v>10010</v>
      </c>
      <c r="H1119" s="75" t="s">
        <v>2691</v>
      </c>
      <c r="I1119" s="72" t="s">
        <v>166</v>
      </c>
    </row>
    <row r="1120" customFormat="false" ht="15" hidden="false" customHeight="false" outlineLevel="0" collapsed="false">
      <c r="A1120" s="72" t="n">
        <v>1116</v>
      </c>
      <c r="B1120" s="72" t="s">
        <v>2692</v>
      </c>
      <c r="C1120" s="72" t="s">
        <v>210</v>
      </c>
      <c r="D1120" s="72" t="s">
        <v>1945</v>
      </c>
      <c r="E1120" s="73" t="s">
        <v>617</v>
      </c>
      <c r="F1120" s="72" t="s">
        <v>834</v>
      </c>
      <c r="G1120" s="74" t="n">
        <v>893</v>
      </c>
      <c r="H1120" s="75" t="s">
        <v>2693</v>
      </c>
      <c r="I1120" s="72" t="s">
        <v>166</v>
      </c>
    </row>
    <row r="1121" customFormat="false" ht="15" hidden="false" customHeight="false" outlineLevel="0" collapsed="false">
      <c r="A1121" s="72" t="n">
        <v>1117</v>
      </c>
      <c r="B1121" s="72" t="s">
        <v>2694</v>
      </c>
      <c r="C1121" s="72" t="s">
        <v>210</v>
      </c>
      <c r="D1121" s="72" t="s">
        <v>1945</v>
      </c>
      <c r="E1121" s="73" t="s">
        <v>617</v>
      </c>
      <c r="F1121" s="72" t="s">
        <v>834</v>
      </c>
      <c r="G1121" s="74" t="n">
        <v>4169</v>
      </c>
      <c r="H1121" s="75" t="s">
        <v>2695</v>
      </c>
      <c r="I1121" s="72" t="s">
        <v>166</v>
      </c>
    </row>
    <row r="1122" customFormat="false" ht="15" hidden="false" customHeight="false" outlineLevel="0" collapsed="false">
      <c r="A1122" s="72" t="n">
        <v>1118</v>
      </c>
      <c r="B1122" s="72" t="s">
        <v>2696</v>
      </c>
      <c r="C1122" s="72" t="s">
        <v>163</v>
      </c>
      <c r="D1122" s="73" t="s">
        <v>2247</v>
      </c>
      <c r="E1122" s="73" t="s">
        <v>617</v>
      </c>
      <c r="F1122" s="72" t="s">
        <v>2248</v>
      </c>
      <c r="G1122" s="74" t="n">
        <v>395</v>
      </c>
      <c r="H1122" s="75" t="s">
        <v>2697</v>
      </c>
      <c r="I1122" s="72" t="s">
        <v>166</v>
      </c>
    </row>
    <row r="1123" customFormat="false" ht="15" hidden="false" customHeight="false" outlineLevel="0" collapsed="false">
      <c r="A1123" s="72" t="n">
        <v>1119</v>
      </c>
      <c r="B1123" s="72" t="s">
        <v>2698</v>
      </c>
      <c r="C1123" s="72" t="s">
        <v>163</v>
      </c>
      <c r="D1123" s="73" t="s">
        <v>2247</v>
      </c>
      <c r="E1123" s="73" t="s">
        <v>617</v>
      </c>
      <c r="F1123" s="72" t="s">
        <v>2248</v>
      </c>
      <c r="G1123" s="74" t="n">
        <v>1811</v>
      </c>
      <c r="H1123" s="75" t="s">
        <v>2699</v>
      </c>
      <c r="I1123" s="72" t="s">
        <v>166</v>
      </c>
    </row>
    <row r="1124" customFormat="false" ht="15" hidden="false" customHeight="false" outlineLevel="0" collapsed="false">
      <c r="A1124" s="72" t="n">
        <v>1120</v>
      </c>
      <c r="B1124" s="72" t="s">
        <v>2700</v>
      </c>
      <c r="C1124" s="72" t="s">
        <v>171</v>
      </c>
      <c r="D1124" s="72" t="s">
        <v>2701</v>
      </c>
      <c r="E1124" s="73" t="s">
        <v>617</v>
      </c>
      <c r="F1124" s="72" t="s">
        <v>834</v>
      </c>
      <c r="G1124" s="74" t="n">
        <v>25270</v>
      </c>
      <c r="H1124" s="75" t="s">
        <v>2702</v>
      </c>
      <c r="I1124" s="72" t="s">
        <v>166</v>
      </c>
    </row>
    <row r="1125" customFormat="false" ht="15" hidden="false" customHeight="false" outlineLevel="0" collapsed="false">
      <c r="A1125" s="72" t="n">
        <v>1121</v>
      </c>
      <c r="B1125" s="72" t="s">
        <v>2703</v>
      </c>
      <c r="C1125" s="72" t="s">
        <v>171</v>
      </c>
      <c r="D1125" s="72" t="s">
        <v>2701</v>
      </c>
      <c r="E1125" s="73" t="s">
        <v>617</v>
      </c>
      <c r="F1125" s="72" t="s">
        <v>834</v>
      </c>
      <c r="G1125" s="74" t="n">
        <v>17994</v>
      </c>
      <c r="H1125" s="75" t="s">
        <v>2704</v>
      </c>
      <c r="I1125" s="72" t="s">
        <v>166</v>
      </c>
    </row>
    <row r="1126" customFormat="false" ht="15" hidden="false" customHeight="false" outlineLevel="0" collapsed="false">
      <c r="A1126" s="72" t="n">
        <v>1122</v>
      </c>
      <c r="B1126" s="72" t="s">
        <v>2705</v>
      </c>
      <c r="C1126" s="72" t="s">
        <v>171</v>
      </c>
      <c r="D1126" s="72" t="s">
        <v>2701</v>
      </c>
      <c r="E1126" s="73" t="s">
        <v>617</v>
      </c>
      <c r="F1126" s="72" t="s">
        <v>834</v>
      </c>
      <c r="G1126" s="74" t="n">
        <v>3634</v>
      </c>
      <c r="H1126" s="75" t="s">
        <v>2706</v>
      </c>
      <c r="I1126" s="72" t="s">
        <v>166</v>
      </c>
    </row>
    <row r="1127" customFormat="false" ht="15" hidden="false" customHeight="false" outlineLevel="0" collapsed="false">
      <c r="A1127" s="72" t="n">
        <v>1123</v>
      </c>
      <c r="B1127" s="72" t="s">
        <v>2707</v>
      </c>
      <c r="C1127" s="72" t="s">
        <v>171</v>
      </c>
      <c r="D1127" s="72" t="s">
        <v>2701</v>
      </c>
      <c r="E1127" s="73" t="s">
        <v>617</v>
      </c>
      <c r="F1127" s="72" t="s">
        <v>834</v>
      </c>
      <c r="G1127" s="74" t="n">
        <v>8772</v>
      </c>
      <c r="H1127" s="75" t="s">
        <v>2708</v>
      </c>
      <c r="I1127" s="72" t="s">
        <v>166</v>
      </c>
    </row>
    <row r="1128" customFormat="false" ht="15" hidden="false" customHeight="false" outlineLevel="0" collapsed="false">
      <c r="A1128" s="72" t="n">
        <v>1124</v>
      </c>
      <c r="B1128" s="72" t="s">
        <v>2709</v>
      </c>
      <c r="C1128" s="72" t="s">
        <v>171</v>
      </c>
      <c r="D1128" s="72" t="s">
        <v>2701</v>
      </c>
      <c r="E1128" s="73" t="s">
        <v>617</v>
      </c>
      <c r="F1128" s="72" t="s">
        <v>834</v>
      </c>
      <c r="G1128" s="74" t="n">
        <v>4201</v>
      </c>
      <c r="H1128" s="75" t="s">
        <v>2710</v>
      </c>
      <c r="I1128" s="72" t="s">
        <v>166</v>
      </c>
    </row>
    <row r="1129" customFormat="false" ht="15" hidden="false" customHeight="false" outlineLevel="0" collapsed="false">
      <c r="A1129" s="72" t="n">
        <v>1125</v>
      </c>
      <c r="B1129" s="72" t="s">
        <v>2711</v>
      </c>
      <c r="C1129" s="72" t="s">
        <v>171</v>
      </c>
      <c r="D1129" s="72" t="s">
        <v>2701</v>
      </c>
      <c r="E1129" s="73" t="s">
        <v>617</v>
      </c>
      <c r="F1129" s="72" t="s">
        <v>834</v>
      </c>
      <c r="G1129" s="74" t="n">
        <v>3559</v>
      </c>
      <c r="H1129" s="75" t="s">
        <v>2712</v>
      </c>
      <c r="I1129" s="72" t="s">
        <v>166</v>
      </c>
    </row>
    <row r="1130" customFormat="false" ht="15" hidden="false" customHeight="false" outlineLevel="0" collapsed="false">
      <c r="A1130" s="72" t="n">
        <v>1126</v>
      </c>
      <c r="B1130" s="72" t="s">
        <v>2713</v>
      </c>
      <c r="C1130" s="72" t="s">
        <v>174</v>
      </c>
      <c r="D1130" s="72" t="s">
        <v>2592</v>
      </c>
      <c r="E1130" s="73" t="s">
        <v>617</v>
      </c>
      <c r="F1130" s="72" t="s">
        <v>834</v>
      </c>
      <c r="G1130" s="74" t="n">
        <v>2757</v>
      </c>
      <c r="H1130" s="75" t="s">
        <v>2714</v>
      </c>
      <c r="I1130" s="72" t="s">
        <v>166</v>
      </c>
    </row>
    <row r="1131" customFormat="false" ht="15" hidden="false" customHeight="false" outlineLevel="0" collapsed="false">
      <c r="A1131" s="72" t="n">
        <v>1127</v>
      </c>
      <c r="B1131" s="72" t="s">
        <v>2715</v>
      </c>
      <c r="C1131" s="72" t="s">
        <v>174</v>
      </c>
      <c r="D1131" s="72" t="s">
        <v>2592</v>
      </c>
      <c r="E1131" s="73" t="s">
        <v>617</v>
      </c>
      <c r="F1131" s="72" t="s">
        <v>834</v>
      </c>
      <c r="G1131" s="74" t="n">
        <v>4041</v>
      </c>
      <c r="H1131" s="75" t="s">
        <v>2716</v>
      </c>
      <c r="I1131" s="72" t="s">
        <v>166</v>
      </c>
    </row>
    <row r="1132" customFormat="false" ht="15" hidden="false" customHeight="false" outlineLevel="0" collapsed="false">
      <c r="A1132" s="72" t="n">
        <v>1128</v>
      </c>
      <c r="B1132" s="72" t="s">
        <v>2717</v>
      </c>
      <c r="C1132" s="72" t="s">
        <v>174</v>
      </c>
      <c r="D1132" s="72" t="s">
        <v>2592</v>
      </c>
      <c r="E1132" s="73" t="s">
        <v>617</v>
      </c>
      <c r="F1132" s="72" t="s">
        <v>834</v>
      </c>
      <c r="G1132" s="74" t="n">
        <v>15177</v>
      </c>
      <c r="H1132" s="75" t="s">
        <v>2718</v>
      </c>
      <c r="I1132" s="72" t="s">
        <v>166</v>
      </c>
    </row>
    <row r="1133" customFormat="false" ht="15" hidden="false" customHeight="false" outlineLevel="0" collapsed="false">
      <c r="A1133" s="72" t="n">
        <v>1129</v>
      </c>
      <c r="B1133" s="72" t="s">
        <v>2719</v>
      </c>
      <c r="C1133" s="72" t="s">
        <v>174</v>
      </c>
      <c r="D1133" s="72" t="s">
        <v>2592</v>
      </c>
      <c r="E1133" s="73" t="s">
        <v>617</v>
      </c>
      <c r="F1133" s="72" t="s">
        <v>834</v>
      </c>
      <c r="G1133" s="74" t="n">
        <v>3622</v>
      </c>
      <c r="H1133" s="75" t="s">
        <v>2720</v>
      </c>
      <c r="I1133" s="72" t="s">
        <v>166</v>
      </c>
    </row>
    <row r="1134" customFormat="false" ht="15" hidden="false" customHeight="false" outlineLevel="0" collapsed="false">
      <c r="A1134" s="72" t="n">
        <v>1130</v>
      </c>
      <c r="B1134" s="72" t="s">
        <v>2721</v>
      </c>
      <c r="C1134" s="72" t="s">
        <v>174</v>
      </c>
      <c r="D1134" s="72" t="s">
        <v>2592</v>
      </c>
      <c r="E1134" s="73" t="s">
        <v>617</v>
      </c>
      <c r="F1134" s="72" t="s">
        <v>834</v>
      </c>
      <c r="G1134" s="74" t="n">
        <v>1234</v>
      </c>
      <c r="H1134" s="75" t="s">
        <v>2722</v>
      </c>
      <c r="I1134" s="72" t="s">
        <v>166</v>
      </c>
    </row>
    <row r="1135" customFormat="false" ht="15" hidden="false" customHeight="false" outlineLevel="0" collapsed="false">
      <c r="A1135" s="72" t="n">
        <v>1131</v>
      </c>
      <c r="B1135" s="72" t="s">
        <v>2723</v>
      </c>
      <c r="C1135" s="72" t="s">
        <v>174</v>
      </c>
      <c r="D1135" s="72" t="s">
        <v>2592</v>
      </c>
      <c r="E1135" s="73" t="s">
        <v>617</v>
      </c>
      <c r="F1135" s="72" t="s">
        <v>834</v>
      </c>
      <c r="G1135" s="74" t="n">
        <v>16192</v>
      </c>
      <c r="H1135" s="75" t="s">
        <v>2724</v>
      </c>
      <c r="I1135" s="72" t="s">
        <v>166</v>
      </c>
    </row>
    <row r="1136" customFormat="false" ht="15" hidden="false" customHeight="false" outlineLevel="0" collapsed="false">
      <c r="A1136" s="72" t="n">
        <v>1132</v>
      </c>
      <c r="B1136" s="72" t="s">
        <v>2725</v>
      </c>
      <c r="C1136" s="72" t="s">
        <v>174</v>
      </c>
      <c r="D1136" s="72" t="s">
        <v>2592</v>
      </c>
      <c r="E1136" s="73" t="s">
        <v>617</v>
      </c>
      <c r="F1136" s="72" t="s">
        <v>834</v>
      </c>
      <c r="G1136" s="74" t="n">
        <v>6758</v>
      </c>
      <c r="H1136" s="75" t="s">
        <v>2726</v>
      </c>
      <c r="I1136" s="72" t="s">
        <v>166</v>
      </c>
    </row>
    <row r="1137" customFormat="false" ht="15" hidden="false" customHeight="false" outlineLevel="0" collapsed="false">
      <c r="A1137" s="72" t="n">
        <v>1133</v>
      </c>
      <c r="B1137" s="72" t="s">
        <v>2727</v>
      </c>
      <c r="C1137" s="72" t="s">
        <v>174</v>
      </c>
      <c r="D1137" s="72" t="s">
        <v>2592</v>
      </c>
      <c r="E1137" s="73" t="s">
        <v>617</v>
      </c>
      <c r="F1137" s="72" t="s">
        <v>834</v>
      </c>
      <c r="G1137" s="74" t="n">
        <v>5966</v>
      </c>
      <c r="H1137" s="75" t="s">
        <v>2728</v>
      </c>
      <c r="I1137" s="72" t="s">
        <v>166</v>
      </c>
    </row>
    <row r="1138" customFormat="false" ht="15" hidden="false" customHeight="false" outlineLevel="0" collapsed="false">
      <c r="A1138" s="72" t="n">
        <v>1134</v>
      </c>
      <c r="B1138" s="72" t="s">
        <v>2729</v>
      </c>
      <c r="C1138" s="72" t="s">
        <v>174</v>
      </c>
      <c r="D1138" s="72" t="s">
        <v>2592</v>
      </c>
      <c r="E1138" s="73" t="s">
        <v>617</v>
      </c>
      <c r="F1138" s="72" t="s">
        <v>834</v>
      </c>
      <c r="G1138" s="74" t="n">
        <v>2463</v>
      </c>
      <c r="H1138" s="75" t="s">
        <v>2730</v>
      </c>
      <c r="I1138" s="72" t="s">
        <v>166</v>
      </c>
    </row>
    <row r="1139" customFormat="false" ht="15" hidden="false" customHeight="false" outlineLevel="0" collapsed="false">
      <c r="A1139" s="72" t="n">
        <v>1135</v>
      </c>
      <c r="B1139" s="72" t="s">
        <v>2731</v>
      </c>
      <c r="C1139" s="72" t="s">
        <v>163</v>
      </c>
      <c r="D1139" s="73" t="s">
        <v>2247</v>
      </c>
      <c r="E1139" s="73" t="s">
        <v>617</v>
      </c>
      <c r="F1139" s="72" t="s">
        <v>834</v>
      </c>
      <c r="G1139" s="74" t="n">
        <v>4885</v>
      </c>
      <c r="H1139" s="75" t="s">
        <v>2732</v>
      </c>
      <c r="I1139" s="72" t="s">
        <v>166</v>
      </c>
    </row>
    <row r="1140" customFormat="false" ht="15" hidden="false" customHeight="false" outlineLevel="0" collapsed="false">
      <c r="A1140" s="72" t="n">
        <v>1136</v>
      </c>
      <c r="B1140" s="72" t="s">
        <v>2733</v>
      </c>
      <c r="C1140" s="72" t="s">
        <v>163</v>
      </c>
      <c r="D1140" s="73" t="s">
        <v>2247</v>
      </c>
      <c r="E1140" s="73" t="s">
        <v>737</v>
      </c>
      <c r="F1140" s="72" t="s">
        <v>834</v>
      </c>
      <c r="G1140" s="74" t="n">
        <v>2184</v>
      </c>
      <c r="H1140" s="75" t="s">
        <v>2734</v>
      </c>
      <c r="I1140" s="72" t="s">
        <v>166</v>
      </c>
    </row>
    <row r="1141" customFormat="false" ht="15" hidden="false" customHeight="false" outlineLevel="0" collapsed="false">
      <c r="A1141" s="72" t="n">
        <v>1137</v>
      </c>
      <c r="B1141" s="72" t="s">
        <v>2735</v>
      </c>
      <c r="C1141" s="72" t="s">
        <v>163</v>
      </c>
      <c r="D1141" s="73" t="s">
        <v>2247</v>
      </c>
      <c r="E1141" s="73" t="s">
        <v>617</v>
      </c>
      <c r="F1141" s="72" t="s">
        <v>834</v>
      </c>
      <c r="G1141" s="74" t="n">
        <v>478</v>
      </c>
      <c r="H1141" s="75" t="s">
        <v>2736</v>
      </c>
      <c r="I1141" s="72" t="s">
        <v>166</v>
      </c>
    </row>
    <row r="1142" customFormat="false" ht="15" hidden="false" customHeight="false" outlineLevel="0" collapsed="false">
      <c r="A1142" s="72" t="n">
        <v>1138</v>
      </c>
      <c r="B1142" s="72" t="s">
        <v>2737</v>
      </c>
      <c r="C1142" s="72" t="s">
        <v>163</v>
      </c>
      <c r="D1142" s="73" t="s">
        <v>2247</v>
      </c>
      <c r="E1142" s="73" t="s">
        <v>617</v>
      </c>
      <c r="F1142" s="72" t="s">
        <v>834</v>
      </c>
      <c r="G1142" s="74" t="n">
        <v>4557</v>
      </c>
      <c r="H1142" s="75" t="s">
        <v>2738</v>
      </c>
      <c r="I1142" s="72" t="s">
        <v>166</v>
      </c>
    </row>
    <row r="1143" customFormat="false" ht="15" hidden="false" customHeight="false" outlineLevel="0" collapsed="false">
      <c r="A1143" s="72" t="n">
        <v>1139</v>
      </c>
      <c r="B1143" s="72" t="s">
        <v>2739</v>
      </c>
      <c r="C1143" s="72" t="s">
        <v>163</v>
      </c>
      <c r="D1143" s="73" t="s">
        <v>2247</v>
      </c>
      <c r="E1143" s="73" t="s">
        <v>617</v>
      </c>
      <c r="F1143" s="72" t="s">
        <v>834</v>
      </c>
      <c r="G1143" s="74" t="n">
        <v>7237</v>
      </c>
      <c r="H1143" s="75" t="s">
        <v>2740</v>
      </c>
      <c r="I1143" s="72" t="s">
        <v>166</v>
      </c>
    </row>
    <row r="1144" customFormat="false" ht="15" hidden="false" customHeight="false" outlineLevel="0" collapsed="false">
      <c r="A1144" s="72" t="n">
        <v>1140</v>
      </c>
      <c r="B1144" s="72" t="s">
        <v>2741</v>
      </c>
      <c r="C1144" s="72" t="s">
        <v>168</v>
      </c>
      <c r="D1144" s="73" t="s">
        <v>2672</v>
      </c>
      <c r="E1144" s="73" t="s">
        <v>617</v>
      </c>
      <c r="F1144" s="72" t="s">
        <v>834</v>
      </c>
      <c r="G1144" s="74" t="n">
        <v>2430</v>
      </c>
      <c r="H1144" s="75" t="s">
        <v>2742</v>
      </c>
      <c r="I1144" s="72" t="s">
        <v>166</v>
      </c>
    </row>
    <row r="1145" customFormat="false" ht="15" hidden="false" customHeight="false" outlineLevel="0" collapsed="false">
      <c r="A1145" s="72" t="n">
        <v>1141</v>
      </c>
      <c r="B1145" s="72" t="s">
        <v>2743</v>
      </c>
      <c r="C1145" s="72" t="s">
        <v>163</v>
      </c>
      <c r="D1145" s="73" t="s">
        <v>2247</v>
      </c>
      <c r="E1145" s="73" t="s">
        <v>617</v>
      </c>
      <c r="F1145" s="72" t="s">
        <v>834</v>
      </c>
      <c r="G1145" s="74" t="n">
        <v>2959</v>
      </c>
      <c r="H1145" s="75" t="s">
        <v>2744</v>
      </c>
      <c r="I1145" s="72" t="s">
        <v>166</v>
      </c>
    </row>
    <row r="1146" customFormat="false" ht="15" hidden="false" customHeight="false" outlineLevel="0" collapsed="false">
      <c r="A1146" s="72" t="n">
        <v>1142</v>
      </c>
      <c r="B1146" s="72" t="s">
        <v>2745</v>
      </c>
      <c r="C1146" s="72" t="s">
        <v>163</v>
      </c>
      <c r="D1146" s="73" t="s">
        <v>2247</v>
      </c>
      <c r="E1146" s="73" t="s">
        <v>617</v>
      </c>
      <c r="F1146" s="72" t="s">
        <v>834</v>
      </c>
      <c r="G1146" s="74" t="n">
        <v>418</v>
      </c>
      <c r="H1146" s="75" t="s">
        <v>2746</v>
      </c>
      <c r="I1146" s="72" t="s">
        <v>166</v>
      </c>
    </row>
    <row r="1147" customFormat="false" ht="15" hidden="false" customHeight="false" outlineLevel="0" collapsed="false">
      <c r="A1147" s="72" t="n">
        <v>1143</v>
      </c>
      <c r="B1147" s="72" t="s">
        <v>2747</v>
      </c>
      <c r="C1147" s="72" t="s">
        <v>177</v>
      </c>
      <c r="D1147" s="73" t="s">
        <v>2605</v>
      </c>
      <c r="E1147" s="73" t="s">
        <v>617</v>
      </c>
      <c r="F1147" s="72" t="s">
        <v>834</v>
      </c>
      <c r="G1147" s="74" t="n">
        <v>2172</v>
      </c>
      <c r="H1147" s="75" t="s">
        <v>2748</v>
      </c>
      <c r="I1147" s="72" t="s">
        <v>166</v>
      </c>
    </row>
    <row r="1148" customFormat="false" ht="15" hidden="false" customHeight="false" outlineLevel="0" collapsed="false">
      <c r="A1148" s="72" t="n">
        <v>1144</v>
      </c>
      <c r="B1148" s="72" t="s">
        <v>2749</v>
      </c>
      <c r="C1148" s="72" t="s">
        <v>177</v>
      </c>
      <c r="D1148" s="73" t="s">
        <v>2605</v>
      </c>
      <c r="E1148" s="73" t="s">
        <v>617</v>
      </c>
      <c r="F1148" s="72" t="s">
        <v>834</v>
      </c>
      <c r="G1148" s="74" t="n">
        <v>7781</v>
      </c>
      <c r="H1148" s="75" t="s">
        <v>2750</v>
      </c>
      <c r="I1148" s="72" t="s">
        <v>166</v>
      </c>
    </row>
    <row r="1149" customFormat="false" ht="15" hidden="false" customHeight="false" outlineLevel="0" collapsed="false">
      <c r="A1149" s="72" t="n">
        <v>1145</v>
      </c>
      <c r="B1149" s="72" t="s">
        <v>2751</v>
      </c>
      <c r="C1149" s="72" t="s">
        <v>177</v>
      </c>
      <c r="D1149" s="73" t="s">
        <v>2605</v>
      </c>
      <c r="E1149" s="73" t="s">
        <v>617</v>
      </c>
      <c r="F1149" s="72" t="s">
        <v>834</v>
      </c>
      <c r="G1149" s="74" t="n">
        <v>8821</v>
      </c>
      <c r="H1149" s="75" t="s">
        <v>2752</v>
      </c>
      <c r="I1149" s="72" t="s">
        <v>166</v>
      </c>
    </row>
    <row r="1150" customFormat="false" ht="15" hidden="false" customHeight="false" outlineLevel="0" collapsed="false">
      <c r="A1150" s="72" t="n">
        <v>1146</v>
      </c>
      <c r="B1150" s="72" t="s">
        <v>2753</v>
      </c>
      <c r="C1150" s="72" t="s">
        <v>177</v>
      </c>
      <c r="D1150" s="73" t="s">
        <v>2605</v>
      </c>
      <c r="E1150" s="73" t="s">
        <v>617</v>
      </c>
      <c r="F1150" s="72" t="s">
        <v>834</v>
      </c>
      <c r="G1150" s="74" t="n">
        <v>5231</v>
      </c>
      <c r="H1150" s="75" t="s">
        <v>2754</v>
      </c>
      <c r="I1150" s="72" t="s">
        <v>166</v>
      </c>
    </row>
    <row r="1151" customFormat="false" ht="15" hidden="false" customHeight="false" outlineLevel="0" collapsed="false">
      <c r="A1151" s="72" t="n">
        <v>1147</v>
      </c>
      <c r="B1151" s="72" t="s">
        <v>2755</v>
      </c>
      <c r="C1151" s="72" t="s">
        <v>177</v>
      </c>
      <c r="D1151" s="73" t="s">
        <v>2605</v>
      </c>
      <c r="E1151" s="73" t="s">
        <v>617</v>
      </c>
      <c r="F1151" s="72" t="s">
        <v>834</v>
      </c>
      <c r="G1151" s="74" t="n">
        <v>2873</v>
      </c>
      <c r="H1151" s="75" t="s">
        <v>2756</v>
      </c>
      <c r="I1151" s="72" t="s">
        <v>166</v>
      </c>
    </row>
    <row r="1152" customFormat="false" ht="15" hidden="false" customHeight="false" outlineLevel="0" collapsed="false">
      <c r="A1152" s="72" t="n">
        <v>1148</v>
      </c>
      <c r="B1152" s="72" t="s">
        <v>2757</v>
      </c>
      <c r="C1152" s="72" t="s">
        <v>177</v>
      </c>
      <c r="D1152" s="73" t="s">
        <v>2605</v>
      </c>
      <c r="E1152" s="73" t="s">
        <v>737</v>
      </c>
      <c r="F1152" s="72" t="s">
        <v>834</v>
      </c>
      <c r="G1152" s="74" t="n">
        <v>3117</v>
      </c>
      <c r="H1152" s="75" t="s">
        <v>2758</v>
      </c>
      <c r="I1152" s="72" t="s">
        <v>166</v>
      </c>
    </row>
    <row r="1153" customFormat="false" ht="15" hidden="false" customHeight="false" outlineLevel="0" collapsed="false">
      <c r="A1153" s="72" t="n">
        <v>1149</v>
      </c>
      <c r="B1153" s="72" t="s">
        <v>2759</v>
      </c>
      <c r="C1153" s="72" t="s">
        <v>177</v>
      </c>
      <c r="D1153" s="73" t="s">
        <v>2605</v>
      </c>
      <c r="E1153" s="73" t="s">
        <v>737</v>
      </c>
      <c r="F1153" s="72" t="s">
        <v>834</v>
      </c>
      <c r="G1153" s="74" t="n">
        <v>10145</v>
      </c>
      <c r="H1153" s="75" t="s">
        <v>2760</v>
      </c>
      <c r="I1153" s="72" t="s">
        <v>166</v>
      </c>
    </row>
    <row r="1154" customFormat="false" ht="15" hidden="false" customHeight="false" outlineLevel="0" collapsed="false">
      <c r="A1154" s="72" t="n">
        <v>1150</v>
      </c>
      <c r="B1154" s="72" t="s">
        <v>2761</v>
      </c>
      <c r="C1154" s="72" t="s">
        <v>163</v>
      </c>
      <c r="D1154" s="73" t="s">
        <v>2247</v>
      </c>
      <c r="E1154" s="73" t="s">
        <v>617</v>
      </c>
      <c r="F1154" s="72" t="s">
        <v>834</v>
      </c>
      <c r="G1154" s="74" t="n">
        <v>1693</v>
      </c>
      <c r="H1154" s="75" t="s">
        <v>2762</v>
      </c>
      <c r="I1154" s="72" t="s">
        <v>166</v>
      </c>
    </row>
    <row r="1155" customFormat="false" ht="15" hidden="false" customHeight="false" outlineLevel="0" collapsed="false">
      <c r="A1155" s="72" t="n">
        <v>1151</v>
      </c>
      <c r="B1155" s="72" t="s">
        <v>2763</v>
      </c>
      <c r="C1155" s="72" t="s">
        <v>168</v>
      </c>
      <c r="D1155" s="73" t="s">
        <v>2672</v>
      </c>
      <c r="E1155" s="73" t="s">
        <v>617</v>
      </c>
      <c r="F1155" s="72" t="s">
        <v>834</v>
      </c>
      <c r="G1155" s="74" t="n">
        <v>8089</v>
      </c>
      <c r="H1155" s="75" t="s">
        <v>2764</v>
      </c>
      <c r="I1155" s="72" t="s">
        <v>166</v>
      </c>
    </row>
    <row r="1156" customFormat="false" ht="15" hidden="false" customHeight="false" outlineLevel="0" collapsed="false">
      <c r="A1156" s="72" t="n">
        <v>1152</v>
      </c>
      <c r="B1156" s="72" t="s">
        <v>2765</v>
      </c>
      <c r="C1156" s="72" t="s">
        <v>168</v>
      </c>
      <c r="D1156" s="73" t="s">
        <v>2672</v>
      </c>
      <c r="E1156" s="73" t="s">
        <v>617</v>
      </c>
      <c r="F1156" s="72" t="s">
        <v>834</v>
      </c>
      <c r="G1156" s="74" t="n">
        <v>8023</v>
      </c>
      <c r="H1156" s="75" t="s">
        <v>2766</v>
      </c>
      <c r="I1156" s="72" t="s">
        <v>166</v>
      </c>
    </row>
    <row r="1157" customFormat="false" ht="15" hidden="false" customHeight="false" outlineLevel="0" collapsed="false">
      <c r="A1157" s="72" t="n">
        <v>1153</v>
      </c>
      <c r="B1157" s="72" t="s">
        <v>2767</v>
      </c>
      <c r="C1157" s="72" t="s">
        <v>163</v>
      </c>
      <c r="D1157" s="73" t="s">
        <v>2247</v>
      </c>
      <c r="E1157" s="73" t="s">
        <v>617</v>
      </c>
      <c r="F1157" s="72" t="s">
        <v>834</v>
      </c>
      <c r="G1157" s="74" t="n">
        <v>3498</v>
      </c>
      <c r="H1157" s="75" t="s">
        <v>2768</v>
      </c>
      <c r="I1157" s="72" t="s">
        <v>166</v>
      </c>
    </row>
    <row r="1158" customFormat="false" ht="15" hidden="false" customHeight="false" outlineLevel="0" collapsed="false">
      <c r="A1158" s="72" t="n">
        <v>1154</v>
      </c>
      <c r="B1158" s="72" t="s">
        <v>2769</v>
      </c>
      <c r="C1158" s="72" t="s">
        <v>201</v>
      </c>
      <c r="D1158" s="72" t="s">
        <v>1865</v>
      </c>
      <c r="E1158" s="73" t="s">
        <v>617</v>
      </c>
      <c r="F1158" s="72" t="s">
        <v>834</v>
      </c>
      <c r="G1158" s="74" t="n">
        <v>1635</v>
      </c>
      <c r="H1158" s="75" t="s">
        <v>2770</v>
      </c>
      <c r="I1158" s="72" t="s">
        <v>166</v>
      </c>
    </row>
    <row r="1159" customFormat="false" ht="15" hidden="false" customHeight="false" outlineLevel="0" collapsed="false">
      <c r="A1159" s="72" t="n">
        <v>1155</v>
      </c>
      <c r="B1159" s="72" t="s">
        <v>2771</v>
      </c>
      <c r="C1159" s="72" t="s">
        <v>201</v>
      </c>
      <c r="D1159" s="72" t="s">
        <v>1865</v>
      </c>
      <c r="E1159" s="73" t="s">
        <v>617</v>
      </c>
      <c r="F1159" s="72" t="s">
        <v>834</v>
      </c>
      <c r="G1159" s="74" t="n">
        <v>2152</v>
      </c>
      <c r="H1159" s="75" t="s">
        <v>2772</v>
      </c>
      <c r="I1159" s="72" t="s">
        <v>166</v>
      </c>
    </row>
    <row r="1160" customFormat="false" ht="15" hidden="false" customHeight="false" outlineLevel="0" collapsed="false">
      <c r="A1160" s="72" t="n">
        <v>1156</v>
      </c>
      <c r="B1160" s="72" t="s">
        <v>2773</v>
      </c>
      <c r="C1160" s="72" t="s">
        <v>204</v>
      </c>
      <c r="D1160" s="72" t="s">
        <v>1871</v>
      </c>
      <c r="E1160" s="73" t="s">
        <v>617</v>
      </c>
      <c r="F1160" s="72" t="s">
        <v>834</v>
      </c>
      <c r="G1160" s="74" t="n">
        <v>8557</v>
      </c>
      <c r="H1160" s="75" t="s">
        <v>2774</v>
      </c>
      <c r="I1160" s="72" t="s">
        <v>166</v>
      </c>
    </row>
    <row r="1161" customFormat="false" ht="15" hidden="false" customHeight="false" outlineLevel="0" collapsed="false">
      <c r="A1161" s="72" t="n">
        <v>1157</v>
      </c>
      <c r="B1161" s="72" t="s">
        <v>2775</v>
      </c>
      <c r="C1161" s="72" t="s">
        <v>207</v>
      </c>
      <c r="D1161" s="72" t="s">
        <v>1878</v>
      </c>
      <c r="E1161" s="73" t="s">
        <v>617</v>
      </c>
      <c r="F1161" s="72" t="s">
        <v>834</v>
      </c>
      <c r="G1161" s="74" t="n">
        <v>1773</v>
      </c>
      <c r="H1161" s="75" t="s">
        <v>2776</v>
      </c>
      <c r="I1161" s="72" t="s">
        <v>166</v>
      </c>
    </row>
    <row r="1162" customFormat="false" ht="15" hidden="false" customHeight="false" outlineLevel="0" collapsed="false">
      <c r="A1162" s="72" t="n">
        <v>1158</v>
      </c>
      <c r="B1162" s="72" t="s">
        <v>2777</v>
      </c>
      <c r="C1162" s="72" t="s">
        <v>207</v>
      </c>
      <c r="D1162" s="72" t="s">
        <v>1878</v>
      </c>
      <c r="E1162" s="73" t="s">
        <v>617</v>
      </c>
      <c r="F1162" s="72" t="s">
        <v>834</v>
      </c>
      <c r="G1162" s="74" t="n">
        <v>5399</v>
      </c>
      <c r="H1162" s="75" t="s">
        <v>2778</v>
      </c>
      <c r="I1162" s="72" t="s">
        <v>166</v>
      </c>
    </row>
    <row r="1163" customFormat="false" ht="15" hidden="false" customHeight="false" outlineLevel="0" collapsed="false">
      <c r="A1163" s="72" t="n">
        <v>1159</v>
      </c>
      <c r="B1163" s="72" t="s">
        <v>2779</v>
      </c>
      <c r="C1163" s="72" t="s">
        <v>213</v>
      </c>
      <c r="D1163" s="72" t="s">
        <v>1970</v>
      </c>
      <c r="E1163" s="73" t="s">
        <v>617</v>
      </c>
      <c r="F1163" s="72" t="s">
        <v>834</v>
      </c>
      <c r="G1163" s="74" t="n">
        <v>12600</v>
      </c>
      <c r="H1163" s="75" t="s">
        <v>2780</v>
      </c>
      <c r="I1163" s="72" t="s">
        <v>166</v>
      </c>
    </row>
    <row r="1164" customFormat="false" ht="15" hidden="false" customHeight="false" outlineLevel="0" collapsed="false">
      <c r="A1164" s="72" t="n">
        <v>1160</v>
      </c>
      <c r="B1164" s="72" t="s">
        <v>2781</v>
      </c>
      <c r="C1164" s="72" t="s">
        <v>168</v>
      </c>
      <c r="D1164" s="73" t="s">
        <v>2672</v>
      </c>
      <c r="E1164" s="73" t="s">
        <v>617</v>
      </c>
      <c r="F1164" s="72" t="s">
        <v>834</v>
      </c>
      <c r="G1164" s="74" t="n">
        <v>1236</v>
      </c>
      <c r="H1164" s="75" t="s">
        <v>2782</v>
      </c>
      <c r="I1164" s="72" t="s">
        <v>166</v>
      </c>
    </row>
    <row r="1165" customFormat="false" ht="15" hidden="false" customHeight="false" outlineLevel="0" collapsed="false">
      <c r="A1165" s="72" t="n">
        <v>1161</v>
      </c>
      <c r="B1165" s="72" t="s">
        <v>2783</v>
      </c>
      <c r="C1165" s="72" t="s">
        <v>163</v>
      </c>
      <c r="D1165" s="73" t="s">
        <v>2247</v>
      </c>
      <c r="E1165" s="73" t="s">
        <v>617</v>
      </c>
      <c r="F1165" s="72" t="s">
        <v>834</v>
      </c>
      <c r="G1165" s="74" t="n">
        <v>20744</v>
      </c>
      <c r="H1165" s="75" t="s">
        <v>2784</v>
      </c>
      <c r="I1165" s="72" t="s">
        <v>166</v>
      </c>
    </row>
    <row r="1166" customFormat="false" ht="15" hidden="false" customHeight="false" outlineLevel="0" collapsed="false">
      <c r="A1166" s="72" t="n">
        <v>1162</v>
      </c>
      <c r="B1166" s="72" t="s">
        <v>2785</v>
      </c>
      <c r="C1166" s="72" t="s">
        <v>210</v>
      </c>
      <c r="D1166" s="72" t="s">
        <v>1945</v>
      </c>
      <c r="E1166" s="73" t="s">
        <v>617</v>
      </c>
      <c r="F1166" s="72" t="s">
        <v>834</v>
      </c>
      <c r="G1166" s="74" t="n">
        <v>12696</v>
      </c>
      <c r="H1166" s="75" t="s">
        <v>2786</v>
      </c>
      <c r="I1166" s="72" t="s">
        <v>166</v>
      </c>
    </row>
    <row r="1167" customFormat="false" ht="15" hidden="false" customHeight="false" outlineLevel="0" collapsed="false">
      <c r="A1167" s="72" t="n">
        <v>1163</v>
      </c>
      <c r="B1167" s="72" t="s">
        <v>2787</v>
      </c>
      <c r="C1167" s="72" t="s">
        <v>163</v>
      </c>
      <c r="D1167" s="73" t="s">
        <v>2247</v>
      </c>
      <c r="E1167" s="73" t="s">
        <v>617</v>
      </c>
      <c r="F1167" s="72" t="s">
        <v>834</v>
      </c>
      <c r="G1167" s="74" t="n">
        <v>1717</v>
      </c>
      <c r="H1167" s="75" t="s">
        <v>2788</v>
      </c>
      <c r="I1167" s="72" t="s">
        <v>166</v>
      </c>
    </row>
    <row r="1168" customFormat="false" ht="15" hidden="false" customHeight="false" outlineLevel="0" collapsed="false">
      <c r="A1168" s="72" t="n">
        <v>1164</v>
      </c>
      <c r="B1168" s="72" t="s">
        <v>2789</v>
      </c>
      <c r="C1168" s="72" t="s">
        <v>163</v>
      </c>
      <c r="D1168" s="73" t="s">
        <v>2247</v>
      </c>
      <c r="E1168" s="73" t="s">
        <v>617</v>
      </c>
      <c r="F1168" s="72" t="s">
        <v>834</v>
      </c>
      <c r="G1168" s="74" t="n">
        <v>1541</v>
      </c>
      <c r="H1168" s="75" t="s">
        <v>2790</v>
      </c>
      <c r="I1168" s="72" t="s">
        <v>166</v>
      </c>
    </row>
    <row r="1169" customFormat="false" ht="15" hidden="false" customHeight="false" outlineLevel="0" collapsed="false">
      <c r="A1169" s="72" t="n">
        <v>1165</v>
      </c>
      <c r="B1169" s="72" t="s">
        <v>2791</v>
      </c>
      <c r="C1169" s="72" t="s">
        <v>163</v>
      </c>
      <c r="D1169" s="73" t="s">
        <v>2247</v>
      </c>
      <c r="E1169" s="73" t="s">
        <v>617</v>
      </c>
      <c r="F1169" s="72" t="s">
        <v>834</v>
      </c>
      <c r="G1169" s="74" t="n">
        <v>1140</v>
      </c>
      <c r="H1169" s="75" t="s">
        <v>2792</v>
      </c>
      <c r="I1169" s="72" t="s">
        <v>166</v>
      </c>
    </row>
    <row r="1170" customFormat="false" ht="15" hidden="false" customHeight="false" outlineLevel="0" collapsed="false">
      <c r="A1170" s="72" t="n">
        <v>1166</v>
      </c>
      <c r="B1170" s="72" t="s">
        <v>2793</v>
      </c>
      <c r="C1170" s="72" t="s">
        <v>163</v>
      </c>
      <c r="D1170" s="73" t="s">
        <v>2247</v>
      </c>
      <c r="E1170" s="73" t="s">
        <v>617</v>
      </c>
      <c r="F1170" s="72" t="s">
        <v>834</v>
      </c>
      <c r="G1170" s="74" t="n">
        <v>488</v>
      </c>
      <c r="H1170" s="75" t="s">
        <v>2794</v>
      </c>
      <c r="I1170" s="72" t="s">
        <v>166</v>
      </c>
    </row>
    <row r="1171" customFormat="false" ht="15" hidden="false" customHeight="false" outlineLevel="0" collapsed="false">
      <c r="A1171" s="72" t="n">
        <v>1167</v>
      </c>
      <c r="B1171" s="72" t="s">
        <v>2795</v>
      </c>
      <c r="C1171" s="72" t="s">
        <v>163</v>
      </c>
      <c r="D1171" s="73" t="s">
        <v>2247</v>
      </c>
      <c r="E1171" s="73" t="s">
        <v>617</v>
      </c>
      <c r="F1171" s="72" t="s">
        <v>834</v>
      </c>
      <c r="G1171" s="74" t="n">
        <v>904</v>
      </c>
      <c r="H1171" s="75" t="s">
        <v>2796</v>
      </c>
      <c r="I1171" s="72" t="s">
        <v>166</v>
      </c>
    </row>
    <row r="1172" customFormat="false" ht="15" hidden="false" customHeight="false" outlineLevel="0" collapsed="false">
      <c r="A1172" s="72" t="n">
        <v>1168</v>
      </c>
      <c r="B1172" s="72" t="s">
        <v>2797</v>
      </c>
      <c r="C1172" s="72" t="s">
        <v>163</v>
      </c>
      <c r="D1172" s="73" t="s">
        <v>2247</v>
      </c>
      <c r="E1172" s="73" t="s">
        <v>617</v>
      </c>
      <c r="F1172" s="72" t="s">
        <v>2248</v>
      </c>
      <c r="G1172" s="74" t="n">
        <v>1162</v>
      </c>
      <c r="H1172" s="75" t="s">
        <v>2798</v>
      </c>
      <c r="I1172" s="72" t="s">
        <v>166</v>
      </c>
    </row>
    <row r="1173" customFormat="false" ht="15" hidden="false" customHeight="false" outlineLevel="0" collapsed="false">
      <c r="A1173" s="72" t="n">
        <v>1169</v>
      </c>
      <c r="B1173" s="72" t="s">
        <v>2799</v>
      </c>
      <c r="C1173" s="72" t="s">
        <v>168</v>
      </c>
      <c r="D1173" s="73" t="s">
        <v>2672</v>
      </c>
      <c r="E1173" s="73" t="s">
        <v>617</v>
      </c>
      <c r="F1173" s="72" t="s">
        <v>2248</v>
      </c>
      <c r="G1173" s="74" t="n">
        <v>6611</v>
      </c>
      <c r="H1173" s="75" t="s">
        <v>2800</v>
      </c>
      <c r="I1173" s="72" t="s">
        <v>166</v>
      </c>
    </row>
    <row r="1174" customFormat="false" ht="15" hidden="false" customHeight="false" outlineLevel="0" collapsed="false">
      <c r="A1174" s="72" t="n">
        <v>1170</v>
      </c>
      <c r="B1174" s="72" t="s">
        <v>2801</v>
      </c>
      <c r="C1174" s="72" t="s">
        <v>168</v>
      </c>
      <c r="D1174" s="73" t="s">
        <v>2672</v>
      </c>
      <c r="E1174" s="73" t="s">
        <v>617</v>
      </c>
      <c r="F1174" s="72" t="s">
        <v>2248</v>
      </c>
      <c r="G1174" s="74" t="n">
        <v>2235</v>
      </c>
      <c r="H1174" s="75" t="s">
        <v>2802</v>
      </c>
      <c r="I1174" s="72" t="s">
        <v>166</v>
      </c>
    </row>
    <row r="1175" customFormat="false" ht="15" hidden="false" customHeight="false" outlineLevel="0" collapsed="false">
      <c r="A1175" s="72" t="n">
        <v>1171</v>
      </c>
      <c r="B1175" s="72" t="s">
        <v>2803</v>
      </c>
      <c r="C1175" s="72" t="s">
        <v>171</v>
      </c>
      <c r="D1175" s="72" t="s">
        <v>2701</v>
      </c>
      <c r="E1175" s="73" t="s">
        <v>617</v>
      </c>
      <c r="F1175" s="72" t="s">
        <v>2248</v>
      </c>
      <c r="G1175" s="74" t="n">
        <v>3601</v>
      </c>
      <c r="H1175" s="75" t="s">
        <v>2804</v>
      </c>
      <c r="I1175" s="72" t="s">
        <v>166</v>
      </c>
    </row>
    <row r="1176" customFormat="false" ht="15" hidden="false" customHeight="false" outlineLevel="0" collapsed="false">
      <c r="A1176" s="72" t="n">
        <v>1172</v>
      </c>
      <c r="B1176" s="72" t="s">
        <v>2805</v>
      </c>
      <c r="C1176" s="72" t="s">
        <v>171</v>
      </c>
      <c r="D1176" s="72" t="s">
        <v>2701</v>
      </c>
      <c r="E1176" s="73" t="s">
        <v>617</v>
      </c>
      <c r="F1176" s="72" t="s">
        <v>2248</v>
      </c>
      <c r="G1176" s="74" t="n">
        <v>11533</v>
      </c>
      <c r="H1176" s="75" t="s">
        <v>2806</v>
      </c>
      <c r="I1176" s="72" t="s">
        <v>166</v>
      </c>
    </row>
    <row r="1177" customFormat="false" ht="15" hidden="false" customHeight="false" outlineLevel="0" collapsed="false">
      <c r="A1177" s="72" t="n">
        <v>1173</v>
      </c>
      <c r="B1177" s="72" t="s">
        <v>2807</v>
      </c>
      <c r="C1177" s="72" t="s">
        <v>171</v>
      </c>
      <c r="D1177" s="72" t="s">
        <v>2701</v>
      </c>
      <c r="E1177" s="73" t="s">
        <v>617</v>
      </c>
      <c r="F1177" s="72" t="s">
        <v>834</v>
      </c>
      <c r="G1177" s="74" t="n">
        <v>2672</v>
      </c>
      <c r="H1177" s="75" t="s">
        <v>2808</v>
      </c>
      <c r="I1177" s="72" t="s">
        <v>166</v>
      </c>
    </row>
    <row r="1178" customFormat="false" ht="15" hidden="false" customHeight="false" outlineLevel="0" collapsed="false">
      <c r="A1178" s="72" t="n">
        <v>1174</v>
      </c>
      <c r="B1178" s="72" t="s">
        <v>2809</v>
      </c>
      <c r="C1178" s="72" t="s">
        <v>171</v>
      </c>
      <c r="D1178" s="72" t="s">
        <v>2701</v>
      </c>
      <c r="E1178" s="73" t="s">
        <v>617</v>
      </c>
      <c r="F1178" s="72" t="s">
        <v>834</v>
      </c>
      <c r="G1178" s="74" t="n">
        <v>4631</v>
      </c>
      <c r="H1178" s="75" t="s">
        <v>2810</v>
      </c>
      <c r="I1178" s="72" t="s">
        <v>166</v>
      </c>
    </row>
    <row r="1179" customFormat="false" ht="15" hidden="false" customHeight="false" outlineLevel="0" collapsed="false">
      <c r="A1179" s="72" t="n">
        <v>1175</v>
      </c>
      <c r="B1179" s="72" t="s">
        <v>2811</v>
      </c>
      <c r="C1179" s="72" t="s">
        <v>168</v>
      </c>
      <c r="D1179" s="73" t="s">
        <v>2672</v>
      </c>
      <c r="E1179" s="73" t="s">
        <v>866</v>
      </c>
      <c r="F1179" s="72" t="s">
        <v>867</v>
      </c>
      <c r="G1179" s="74" t="n">
        <v>34210</v>
      </c>
      <c r="H1179" s="75" t="s">
        <v>2812</v>
      </c>
      <c r="I1179" s="72" t="s">
        <v>166</v>
      </c>
    </row>
    <row r="1180" customFormat="false" ht="15" hidden="false" customHeight="false" outlineLevel="0" collapsed="false">
      <c r="A1180" s="72" t="n">
        <v>1176</v>
      </c>
      <c r="B1180" s="72" t="s">
        <v>2813</v>
      </c>
      <c r="C1180" s="72" t="s">
        <v>174</v>
      </c>
      <c r="D1180" s="72" t="s">
        <v>2592</v>
      </c>
      <c r="E1180" s="73" t="s">
        <v>617</v>
      </c>
      <c r="F1180" s="72" t="s">
        <v>2248</v>
      </c>
      <c r="G1180" s="74" t="n">
        <v>14657</v>
      </c>
      <c r="H1180" s="75" t="s">
        <v>2814</v>
      </c>
      <c r="I1180" s="72" t="s">
        <v>166</v>
      </c>
    </row>
    <row r="1181" customFormat="false" ht="15" hidden="false" customHeight="false" outlineLevel="0" collapsed="false">
      <c r="A1181" s="72" t="n">
        <v>1177</v>
      </c>
      <c r="B1181" s="72" t="s">
        <v>2815</v>
      </c>
      <c r="C1181" s="72" t="s">
        <v>174</v>
      </c>
      <c r="D1181" s="72" t="s">
        <v>2592</v>
      </c>
      <c r="E1181" s="73" t="s">
        <v>617</v>
      </c>
      <c r="F1181" s="72" t="s">
        <v>834</v>
      </c>
      <c r="G1181" s="74" t="n">
        <v>5262</v>
      </c>
      <c r="H1181" s="75" t="s">
        <v>2816</v>
      </c>
      <c r="I1181" s="72" t="s">
        <v>166</v>
      </c>
    </row>
    <row r="1182" customFormat="false" ht="15" hidden="false" customHeight="false" outlineLevel="0" collapsed="false">
      <c r="A1182" s="72" t="n">
        <v>1178</v>
      </c>
      <c r="B1182" s="72" t="s">
        <v>2817</v>
      </c>
      <c r="C1182" s="72" t="s">
        <v>174</v>
      </c>
      <c r="D1182" s="72" t="s">
        <v>2592</v>
      </c>
      <c r="E1182" s="73" t="s">
        <v>617</v>
      </c>
      <c r="F1182" s="72" t="s">
        <v>834</v>
      </c>
      <c r="G1182" s="74" t="n">
        <v>3179</v>
      </c>
      <c r="H1182" s="75" t="s">
        <v>2818</v>
      </c>
      <c r="I1182" s="72" t="s">
        <v>166</v>
      </c>
    </row>
    <row r="1183" customFormat="false" ht="15" hidden="false" customHeight="false" outlineLevel="0" collapsed="false">
      <c r="A1183" s="72" t="n">
        <v>1179</v>
      </c>
      <c r="B1183" s="72" t="s">
        <v>2819</v>
      </c>
      <c r="C1183" s="72" t="s">
        <v>168</v>
      </c>
      <c r="D1183" s="73" t="s">
        <v>2672</v>
      </c>
      <c r="E1183" s="73" t="s">
        <v>617</v>
      </c>
      <c r="F1183" s="72" t="s">
        <v>834</v>
      </c>
      <c r="G1183" s="74" t="n">
        <v>2126</v>
      </c>
      <c r="H1183" s="75" t="s">
        <v>2820</v>
      </c>
      <c r="I1183" s="72" t="s">
        <v>166</v>
      </c>
    </row>
    <row r="1184" customFormat="false" ht="15" hidden="false" customHeight="false" outlineLevel="0" collapsed="false">
      <c r="A1184" s="72" t="n">
        <v>1180</v>
      </c>
      <c r="B1184" s="72" t="s">
        <v>2821</v>
      </c>
      <c r="C1184" s="72" t="s">
        <v>168</v>
      </c>
      <c r="D1184" s="73" t="s">
        <v>2672</v>
      </c>
      <c r="E1184" s="73" t="s">
        <v>617</v>
      </c>
      <c r="F1184" s="72" t="s">
        <v>2248</v>
      </c>
      <c r="G1184" s="74" t="n">
        <v>3665</v>
      </c>
      <c r="H1184" s="75" t="s">
        <v>2822</v>
      </c>
      <c r="I1184" s="72" t="s">
        <v>166</v>
      </c>
    </row>
    <row r="1185" customFormat="false" ht="15" hidden="false" customHeight="false" outlineLevel="0" collapsed="false">
      <c r="A1185" s="72" t="n">
        <v>1181</v>
      </c>
      <c r="B1185" s="72" t="s">
        <v>2823</v>
      </c>
      <c r="C1185" s="72" t="s">
        <v>168</v>
      </c>
      <c r="D1185" s="73" t="s">
        <v>2672</v>
      </c>
      <c r="E1185" s="73" t="s">
        <v>866</v>
      </c>
      <c r="F1185" s="72" t="s">
        <v>867</v>
      </c>
      <c r="G1185" s="74" t="n">
        <v>37258</v>
      </c>
      <c r="H1185" s="75" t="s">
        <v>2824</v>
      </c>
      <c r="I1185" s="72" t="s">
        <v>166</v>
      </c>
    </row>
    <row r="1186" customFormat="false" ht="15" hidden="false" customHeight="false" outlineLevel="0" collapsed="false">
      <c r="A1186" s="72" t="n">
        <v>1182</v>
      </c>
      <c r="B1186" s="72" t="s">
        <v>2825</v>
      </c>
      <c r="C1186" s="72" t="s">
        <v>168</v>
      </c>
      <c r="D1186" s="73" t="s">
        <v>2672</v>
      </c>
      <c r="E1186" s="73" t="s">
        <v>617</v>
      </c>
      <c r="F1186" s="72" t="s">
        <v>2248</v>
      </c>
      <c r="G1186" s="74" t="n">
        <v>12715</v>
      </c>
      <c r="H1186" s="75" t="s">
        <v>2826</v>
      </c>
      <c r="I1186" s="72" t="s">
        <v>166</v>
      </c>
    </row>
    <row r="1187" customFormat="false" ht="15" hidden="false" customHeight="false" outlineLevel="0" collapsed="false">
      <c r="A1187" s="72" t="n">
        <v>1183</v>
      </c>
      <c r="B1187" s="72" t="s">
        <v>2827</v>
      </c>
      <c r="C1187" s="72" t="s">
        <v>168</v>
      </c>
      <c r="D1187" s="73" t="s">
        <v>2672</v>
      </c>
      <c r="E1187" s="73" t="s">
        <v>617</v>
      </c>
      <c r="F1187" s="72" t="s">
        <v>834</v>
      </c>
      <c r="G1187" s="74" t="n">
        <v>11595</v>
      </c>
      <c r="H1187" s="75" t="s">
        <v>2828</v>
      </c>
      <c r="I1187" s="72" t="s">
        <v>166</v>
      </c>
    </row>
    <row r="1188" customFormat="false" ht="15" hidden="false" customHeight="false" outlineLevel="0" collapsed="false">
      <c r="A1188" s="72" t="n">
        <v>1184</v>
      </c>
      <c r="B1188" s="72" t="s">
        <v>2829</v>
      </c>
      <c r="C1188" s="72" t="s">
        <v>201</v>
      </c>
      <c r="D1188" s="72" t="s">
        <v>1865</v>
      </c>
      <c r="E1188" s="73" t="s">
        <v>617</v>
      </c>
      <c r="F1188" s="72" t="s">
        <v>2248</v>
      </c>
      <c r="G1188" s="74" t="n">
        <v>1513</v>
      </c>
      <c r="H1188" s="75" t="s">
        <v>2830</v>
      </c>
      <c r="I1188" s="72" t="s">
        <v>166</v>
      </c>
    </row>
    <row r="1189" customFormat="false" ht="15" hidden="false" customHeight="false" outlineLevel="0" collapsed="false">
      <c r="A1189" s="72" t="n">
        <v>1185</v>
      </c>
      <c r="B1189" s="72" t="s">
        <v>2831</v>
      </c>
      <c r="C1189" s="72" t="s">
        <v>201</v>
      </c>
      <c r="D1189" s="72" t="s">
        <v>1865</v>
      </c>
      <c r="E1189" s="73" t="s">
        <v>617</v>
      </c>
      <c r="F1189" s="72" t="s">
        <v>2248</v>
      </c>
      <c r="G1189" s="74" t="n">
        <v>1276</v>
      </c>
      <c r="H1189" s="75" t="s">
        <v>2832</v>
      </c>
      <c r="I1189" s="72" t="s">
        <v>166</v>
      </c>
    </row>
    <row r="1190" customFormat="false" ht="15" hidden="false" customHeight="false" outlineLevel="0" collapsed="false">
      <c r="A1190" s="72" t="n">
        <v>1186</v>
      </c>
      <c r="B1190" s="72" t="s">
        <v>2833</v>
      </c>
      <c r="C1190" s="72" t="s">
        <v>201</v>
      </c>
      <c r="D1190" s="72" t="s">
        <v>1865</v>
      </c>
      <c r="E1190" s="73" t="s">
        <v>617</v>
      </c>
      <c r="F1190" s="72" t="s">
        <v>2248</v>
      </c>
      <c r="G1190" s="74" t="n">
        <v>6113</v>
      </c>
      <c r="H1190" s="75" t="s">
        <v>2834</v>
      </c>
      <c r="I1190" s="72" t="s">
        <v>166</v>
      </c>
    </row>
    <row r="1191" customFormat="false" ht="15" hidden="false" customHeight="false" outlineLevel="0" collapsed="false">
      <c r="A1191" s="72" t="n">
        <v>1187</v>
      </c>
      <c r="B1191" s="72" t="s">
        <v>2835</v>
      </c>
      <c r="C1191" s="72" t="s">
        <v>201</v>
      </c>
      <c r="D1191" s="72" t="s">
        <v>1865</v>
      </c>
      <c r="E1191" s="73" t="s">
        <v>617</v>
      </c>
      <c r="F1191" s="72" t="s">
        <v>2248</v>
      </c>
      <c r="G1191" s="74" t="n">
        <v>7157</v>
      </c>
      <c r="H1191" s="75" t="s">
        <v>2836</v>
      </c>
      <c r="I1191" s="72" t="s">
        <v>166</v>
      </c>
    </row>
    <row r="1192" customFormat="false" ht="15" hidden="false" customHeight="false" outlineLevel="0" collapsed="false">
      <c r="A1192" s="72" t="n">
        <v>1188</v>
      </c>
      <c r="B1192" s="72" t="s">
        <v>2837</v>
      </c>
      <c r="C1192" s="72" t="s">
        <v>201</v>
      </c>
      <c r="D1192" s="72" t="s">
        <v>1865</v>
      </c>
      <c r="E1192" s="73" t="s">
        <v>617</v>
      </c>
      <c r="F1192" s="72" t="s">
        <v>2248</v>
      </c>
      <c r="G1192" s="74" t="n">
        <v>5485</v>
      </c>
      <c r="H1192" s="75" t="s">
        <v>2838</v>
      </c>
      <c r="I1192" s="72" t="s">
        <v>166</v>
      </c>
    </row>
    <row r="1193" customFormat="false" ht="15" hidden="false" customHeight="false" outlineLevel="0" collapsed="false">
      <c r="A1193" s="72" t="n">
        <v>1189</v>
      </c>
      <c r="B1193" s="72" t="s">
        <v>2839</v>
      </c>
      <c r="C1193" s="72" t="s">
        <v>201</v>
      </c>
      <c r="D1193" s="72" t="s">
        <v>1865</v>
      </c>
      <c r="E1193" s="73" t="s">
        <v>617</v>
      </c>
      <c r="F1193" s="72" t="s">
        <v>2248</v>
      </c>
      <c r="G1193" s="74" t="n">
        <v>1125</v>
      </c>
      <c r="H1193" s="75" t="s">
        <v>2840</v>
      </c>
      <c r="I1193" s="72" t="s">
        <v>166</v>
      </c>
    </row>
    <row r="1194" customFormat="false" ht="15" hidden="false" customHeight="false" outlineLevel="0" collapsed="false">
      <c r="A1194" s="72" t="n">
        <v>1190</v>
      </c>
      <c r="B1194" s="72" t="s">
        <v>2841</v>
      </c>
      <c r="C1194" s="72" t="s">
        <v>201</v>
      </c>
      <c r="D1194" s="72" t="s">
        <v>1865</v>
      </c>
      <c r="E1194" s="73" t="s">
        <v>617</v>
      </c>
      <c r="F1194" s="72" t="s">
        <v>2248</v>
      </c>
      <c r="G1194" s="74" t="n">
        <v>1026</v>
      </c>
      <c r="H1194" s="75" t="s">
        <v>2842</v>
      </c>
      <c r="I1194" s="72" t="s">
        <v>166</v>
      </c>
    </row>
    <row r="1195" customFormat="false" ht="15" hidden="false" customHeight="false" outlineLevel="0" collapsed="false">
      <c r="A1195" s="72" t="n">
        <v>1191</v>
      </c>
      <c r="B1195" s="72" t="s">
        <v>2843</v>
      </c>
      <c r="C1195" s="72" t="s">
        <v>201</v>
      </c>
      <c r="D1195" s="72" t="s">
        <v>1865</v>
      </c>
      <c r="E1195" s="73" t="s">
        <v>617</v>
      </c>
      <c r="F1195" s="72" t="s">
        <v>2248</v>
      </c>
      <c r="G1195" s="74" t="n">
        <v>1145</v>
      </c>
      <c r="H1195" s="75" t="s">
        <v>2844</v>
      </c>
      <c r="I1195" s="72" t="s">
        <v>166</v>
      </c>
    </row>
    <row r="1196" customFormat="false" ht="15" hidden="false" customHeight="false" outlineLevel="0" collapsed="false">
      <c r="A1196" s="72" t="n">
        <v>1192</v>
      </c>
      <c r="B1196" s="72" t="s">
        <v>2845</v>
      </c>
      <c r="C1196" s="72" t="s">
        <v>201</v>
      </c>
      <c r="D1196" s="72" t="s">
        <v>1865</v>
      </c>
      <c r="E1196" s="73" t="s">
        <v>617</v>
      </c>
      <c r="F1196" s="72" t="s">
        <v>2248</v>
      </c>
      <c r="G1196" s="74" t="n">
        <v>1168</v>
      </c>
      <c r="H1196" s="75" t="s">
        <v>2846</v>
      </c>
      <c r="I1196" s="72" t="s">
        <v>166</v>
      </c>
    </row>
    <row r="1197" customFormat="false" ht="15" hidden="false" customHeight="false" outlineLevel="0" collapsed="false">
      <c r="A1197" s="72" t="n">
        <v>1193</v>
      </c>
      <c r="B1197" s="72" t="s">
        <v>2847</v>
      </c>
      <c r="C1197" s="72" t="s">
        <v>201</v>
      </c>
      <c r="D1197" s="72" t="s">
        <v>1865</v>
      </c>
      <c r="E1197" s="73" t="s">
        <v>617</v>
      </c>
      <c r="F1197" s="72" t="s">
        <v>2248</v>
      </c>
      <c r="G1197" s="74" t="n">
        <v>7664</v>
      </c>
      <c r="H1197" s="75" t="s">
        <v>2848</v>
      </c>
      <c r="I1197" s="72" t="s">
        <v>166</v>
      </c>
    </row>
    <row r="1198" customFormat="false" ht="15" hidden="false" customHeight="false" outlineLevel="0" collapsed="false">
      <c r="A1198" s="72" t="n">
        <v>1194</v>
      </c>
      <c r="B1198" s="72" t="s">
        <v>2849</v>
      </c>
      <c r="C1198" s="72" t="s">
        <v>201</v>
      </c>
      <c r="D1198" s="72" t="s">
        <v>1865</v>
      </c>
      <c r="E1198" s="73" t="s">
        <v>617</v>
      </c>
      <c r="F1198" s="72" t="s">
        <v>2248</v>
      </c>
      <c r="G1198" s="74" t="n">
        <v>7298</v>
      </c>
      <c r="H1198" s="75" t="s">
        <v>2850</v>
      </c>
      <c r="I1198" s="72" t="s">
        <v>166</v>
      </c>
    </row>
    <row r="1199" customFormat="false" ht="15" hidden="false" customHeight="false" outlineLevel="0" collapsed="false">
      <c r="A1199" s="72" t="n">
        <v>1195</v>
      </c>
      <c r="B1199" s="72" t="s">
        <v>2851</v>
      </c>
      <c r="C1199" s="72" t="s">
        <v>201</v>
      </c>
      <c r="D1199" s="72" t="s">
        <v>1865</v>
      </c>
      <c r="E1199" s="73" t="s">
        <v>617</v>
      </c>
      <c r="F1199" s="72" t="s">
        <v>2248</v>
      </c>
      <c r="G1199" s="74" t="n">
        <v>4964</v>
      </c>
      <c r="H1199" s="75" t="s">
        <v>2852</v>
      </c>
      <c r="I1199" s="72" t="s">
        <v>166</v>
      </c>
    </row>
    <row r="1200" customFormat="false" ht="15" hidden="false" customHeight="false" outlineLevel="0" collapsed="false">
      <c r="A1200" s="72" t="n">
        <v>1196</v>
      </c>
      <c r="B1200" s="72" t="s">
        <v>2853</v>
      </c>
      <c r="C1200" s="72" t="s">
        <v>201</v>
      </c>
      <c r="D1200" s="72" t="s">
        <v>1865</v>
      </c>
      <c r="E1200" s="73" t="s">
        <v>617</v>
      </c>
      <c r="F1200" s="72" t="s">
        <v>834</v>
      </c>
      <c r="G1200" s="74" t="n">
        <v>1668</v>
      </c>
      <c r="H1200" s="75" t="s">
        <v>2854</v>
      </c>
      <c r="I1200" s="72" t="s">
        <v>166</v>
      </c>
    </row>
    <row r="1201" customFormat="false" ht="15" hidden="false" customHeight="false" outlineLevel="0" collapsed="false">
      <c r="A1201" s="72" t="n">
        <v>1197</v>
      </c>
      <c r="B1201" s="72" t="s">
        <v>2855</v>
      </c>
      <c r="C1201" s="72" t="s">
        <v>201</v>
      </c>
      <c r="D1201" s="72" t="s">
        <v>1865</v>
      </c>
      <c r="E1201" s="73" t="s">
        <v>617</v>
      </c>
      <c r="F1201" s="72" t="s">
        <v>834</v>
      </c>
      <c r="G1201" s="74" t="n">
        <v>4068</v>
      </c>
      <c r="H1201" s="75" t="s">
        <v>2856</v>
      </c>
      <c r="I1201" s="72" t="s">
        <v>166</v>
      </c>
    </row>
    <row r="1202" customFormat="false" ht="15" hidden="false" customHeight="false" outlineLevel="0" collapsed="false">
      <c r="A1202" s="72" t="n">
        <v>1198</v>
      </c>
      <c r="B1202" s="72" t="s">
        <v>2857</v>
      </c>
      <c r="C1202" s="72" t="s">
        <v>201</v>
      </c>
      <c r="D1202" s="72" t="s">
        <v>1865</v>
      </c>
      <c r="E1202" s="73" t="s">
        <v>617</v>
      </c>
      <c r="F1202" s="72" t="s">
        <v>834</v>
      </c>
      <c r="G1202" s="74" t="n">
        <v>20363</v>
      </c>
      <c r="H1202" s="75" t="s">
        <v>2858</v>
      </c>
      <c r="I1202" s="72" t="s">
        <v>166</v>
      </c>
    </row>
    <row r="1203" customFormat="false" ht="15" hidden="false" customHeight="false" outlineLevel="0" collapsed="false">
      <c r="A1203" s="72" t="n">
        <v>1199</v>
      </c>
      <c r="B1203" s="72" t="s">
        <v>2859</v>
      </c>
      <c r="C1203" s="72" t="s">
        <v>201</v>
      </c>
      <c r="D1203" s="72" t="s">
        <v>1865</v>
      </c>
      <c r="E1203" s="73" t="s">
        <v>617</v>
      </c>
      <c r="F1203" s="72" t="s">
        <v>834</v>
      </c>
      <c r="G1203" s="74" t="n">
        <v>22723</v>
      </c>
      <c r="H1203" s="75" t="s">
        <v>2860</v>
      </c>
      <c r="I1203" s="72" t="s">
        <v>166</v>
      </c>
    </row>
    <row r="1204" customFormat="false" ht="15" hidden="false" customHeight="false" outlineLevel="0" collapsed="false">
      <c r="A1204" s="72" t="n">
        <v>1200</v>
      </c>
      <c r="B1204" s="72" t="s">
        <v>2861</v>
      </c>
      <c r="C1204" s="72" t="s">
        <v>201</v>
      </c>
      <c r="D1204" s="72" t="s">
        <v>1865</v>
      </c>
      <c r="E1204" s="73" t="s">
        <v>617</v>
      </c>
      <c r="F1204" s="72" t="s">
        <v>834</v>
      </c>
      <c r="G1204" s="74" t="n">
        <v>1231</v>
      </c>
      <c r="H1204" s="75" t="s">
        <v>2862</v>
      </c>
      <c r="I1204" s="72" t="s">
        <v>166</v>
      </c>
    </row>
    <row r="1205" customFormat="false" ht="15" hidden="false" customHeight="false" outlineLevel="0" collapsed="false">
      <c r="A1205" s="72" t="n">
        <v>1201</v>
      </c>
      <c r="B1205" s="72" t="s">
        <v>2863</v>
      </c>
      <c r="C1205" s="72" t="s">
        <v>204</v>
      </c>
      <c r="D1205" s="72" t="s">
        <v>1871</v>
      </c>
      <c r="E1205" s="73" t="s">
        <v>617</v>
      </c>
      <c r="F1205" s="72" t="s">
        <v>2248</v>
      </c>
      <c r="G1205" s="74" t="n">
        <v>1608</v>
      </c>
      <c r="H1205" s="75" t="s">
        <v>2864</v>
      </c>
      <c r="I1205" s="72" t="s">
        <v>166</v>
      </c>
    </row>
    <row r="1206" customFormat="false" ht="15" hidden="false" customHeight="false" outlineLevel="0" collapsed="false">
      <c r="A1206" s="72" t="n">
        <v>1202</v>
      </c>
      <c r="B1206" s="72" t="s">
        <v>2865</v>
      </c>
      <c r="C1206" s="72" t="s">
        <v>204</v>
      </c>
      <c r="D1206" s="72" t="s">
        <v>1871</v>
      </c>
      <c r="E1206" s="73" t="s">
        <v>617</v>
      </c>
      <c r="F1206" s="72" t="s">
        <v>2248</v>
      </c>
      <c r="G1206" s="74" t="n">
        <v>1260</v>
      </c>
      <c r="H1206" s="75" t="s">
        <v>2866</v>
      </c>
      <c r="I1206" s="72" t="s">
        <v>166</v>
      </c>
    </row>
    <row r="1207" customFormat="false" ht="15" hidden="false" customHeight="false" outlineLevel="0" collapsed="false">
      <c r="A1207" s="72" t="n">
        <v>1203</v>
      </c>
      <c r="B1207" s="72" t="s">
        <v>2867</v>
      </c>
      <c r="C1207" s="72" t="s">
        <v>204</v>
      </c>
      <c r="D1207" s="72" t="s">
        <v>1871</v>
      </c>
      <c r="E1207" s="73" t="s">
        <v>617</v>
      </c>
      <c r="F1207" s="72" t="s">
        <v>2248</v>
      </c>
      <c r="G1207" s="74" t="n">
        <v>5199</v>
      </c>
      <c r="H1207" s="75" t="s">
        <v>2868</v>
      </c>
      <c r="I1207" s="72" t="s">
        <v>166</v>
      </c>
    </row>
    <row r="1208" customFormat="false" ht="15" hidden="false" customHeight="false" outlineLevel="0" collapsed="false">
      <c r="A1208" s="72" t="n">
        <v>1204</v>
      </c>
      <c r="B1208" s="72" t="s">
        <v>2869</v>
      </c>
      <c r="C1208" s="72" t="s">
        <v>204</v>
      </c>
      <c r="D1208" s="72" t="s">
        <v>1871</v>
      </c>
      <c r="E1208" s="73" t="s">
        <v>617</v>
      </c>
      <c r="F1208" s="72" t="s">
        <v>2248</v>
      </c>
      <c r="G1208" s="74" t="n">
        <v>18464</v>
      </c>
      <c r="H1208" s="75" t="s">
        <v>2870</v>
      </c>
      <c r="I1208" s="72" t="s">
        <v>166</v>
      </c>
    </row>
    <row r="1209" customFormat="false" ht="15" hidden="false" customHeight="false" outlineLevel="0" collapsed="false">
      <c r="A1209" s="72" t="n">
        <v>1205</v>
      </c>
      <c r="B1209" s="72" t="s">
        <v>2871</v>
      </c>
      <c r="C1209" s="72" t="s">
        <v>204</v>
      </c>
      <c r="D1209" s="72" t="s">
        <v>1871</v>
      </c>
      <c r="E1209" s="73" t="s">
        <v>617</v>
      </c>
      <c r="F1209" s="72" t="s">
        <v>2248</v>
      </c>
      <c r="G1209" s="74" t="n">
        <v>10548</v>
      </c>
      <c r="H1209" s="75" t="s">
        <v>2872</v>
      </c>
      <c r="I1209" s="72" t="s">
        <v>166</v>
      </c>
    </row>
    <row r="1210" customFormat="false" ht="15" hidden="false" customHeight="false" outlineLevel="0" collapsed="false">
      <c r="A1210" s="72" t="n">
        <v>1206</v>
      </c>
      <c r="B1210" s="72" t="s">
        <v>2873</v>
      </c>
      <c r="C1210" s="72" t="s">
        <v>204</v>
      </c>
      <c r="D1210" s="72" t="s">
        <v>1871</v>
      </c>
      <c r="E1210" s="73" t="s">
        <v>617</v>
      </c>
      <c r="F1210" s="72" t="s">
        <v>2248</v>
      </c>
      <c r="G1210" s="74" t="n">
        <v>1314</v>
      </c>
      <c r="H1210" s="75" t="s">
        <v>2874</v>
      </c>
      <c r="I1210" s="72" t="s">
        <v>166</v>
      </c>
    </row>
    <row r="1211" customFormat="false" ht="15" hidden="false" customHeight="false" outlineLevel="0" collapsed="false">
      <c r="A1211" s="72" t="n">
        <v>1207</v>
      </c>
      <c r="B1211" s="72" t="s">
        <v>2875</v>
      </c>
      <c r="C1211" s="72" t="s">
        <v>204</v>
      </c>
      <c r="D1211" s="72" t="s">
        <v>1871</v>
      </c>
      <c r="E1211" s="73" t="s">
        <v>617</v>
      </c>
      <c r="F1211" s="72" t="s">
        <v>2248</v>
      </c>
      <c r="G1211" s="74" t="n">
        <v>1519</v>
      </c>
      <c r="H1211" s="75" t="s">
        <v>2876</v>
      </c>
      <c r="I1211" s="72" t="s">
        <v>166</v>
      </c>
    </row>
    <row r="1212" customFormat="false" ht="15" hidden="false" customHeight="false" outlineLevel="0" collapsed="false">
      <c r="A1212" s="72" t="n">
        <v>1208</v>
      </c>
      <c r="B1212" s="72" t="s">
        <v>2877</v>
      </c>
      <c r="C1212" s="72" t="s">
        <v>204</v>
      </c>
      <c r="D1212" s="72" t="s">
        <v>1871</v>
      </c>
      <c r="E1212" s="73" t="s">
        <v>617</v>
      </c>
      <c r="F1212" s="72" t="s">
        <v>2248</v>
      </c>
      <c r="G1212" s="74" t="n">
        <v>3722</v>
      </c>
      <c r="H1212" s="75" t="s">
        <v>2878</v>
      </c>
      <c r="I1212" s="72" t="s">
        <v>166</v>
      </c>
    </row>
    <row r="1213" customFormat="false" ht="15" hidden="false" customHeight="false" outlineLevel="0" collapsed="false">
      <c r="A1213" s="72" t="n">
        <v>1209</v>
      </c>
      <c r="B1213" s="72" t="s">
        <v>2879</v>
      </c>
      <c r="C1213" s="72" t="s">
        <v>204</v>
      </c>
      <c r="D1213" s="72" t="s">
        <v>1871</v>
      </c>
      <c r="E1213" s="73" t="s">
        <v>617</v>
      </c>
      <c r="F1213" s="72" t="s">
        <v>2248</v>
      </c>
      <c r="G1213" s="74" t="n">
        <v>1853</v>
      </c>
      <c r="H1213" s="75" t="s">
        <v>2880</v>
      </c>
      <c r="I1213" s="72" t="s">
        <v>166</v>
      </c>
    </row>
    <row r="1214" customFormat="false" ht="15" hidden="false" customHeight="false" outlineLevel="0" collapsed="false">
      <c r="A1214" s="72" t="n">
        <v>1210</v>
      </c>
      <c r="B1214" s="72" t="s">
        <v>2881</v>
      </c>
      <c r="C1214" s="72" t="s">
        <v>204</v>
      </c>
      <c r="D1214" s="72" t="s">
        <v>1871</v>
      </c>
      <c r="E1214" s="73" t="s">
        <v>866</v>
      </c>
      <c r="F1214" s="72" t="s">
        <v>867</v>
      </c>
      <c r="G1214" s="74" t="n">
        <v>8052</v>
      </c>
      <c r="H1214" s="75" t="s">
        <v>2882</v>
      </c>
      <c r="I1214" s="72" t="s">
        <v>166</v>
      </c>
    </row>
    <row r="1215" customFormat="false" ht="15" hidden="false" customHeight="false" outlineLevel="0" collapsed="false">
      <c r="A1215" s="72" t="n">
        <v>1211</v>
      </c>
      <c r="B1215" s="72" t="s">
        <v>2883</v>
      </c>
      <c r="C1215" s="72" t="s">
        <v>204</v>
      </c>
      <c r="D1215" s="72" t="s">
        <v>1871</v>
      </c>
      <c r="E1215" s="73" t="s">
        <v>617</v>
      </c>
      <c r="F1215" s="72" t="s">
        <v>2248</v>
      </c>
      <c r="G1215" s="74" t="n">
        <v>57205</v>
      </c>
      <c r="H1215" s="75" t="s">
        <v>2884</v>
      </c>
      <c r="I1215" s="72" t="s">
        <v>166</v>
      </c>
    </row>
    <row r="1216" customFormat="false" ht="15" hidden="false" customHeight="false" outlineLevel="0" collapsed="false">
      <c r="A1216" s="72" t="n">
        <v>1212</v>
      </c>
      <c r="B1216" s="72" t="s">
        <v>2885</v>
      </c>
      <c r="C1216" s="72" t="s">
        <v>204</v>
      </c>
      <c r="D1216" s="72" t="s">
        <v>1871</v>
      </c>
      <c r="E1216" s="73" t="s">
        <v>617</v>
      </c>
      <c r="F1216" s="72" t="s">
        <v>2248</v>
      </c>
      <c r="G1216" s="74" t="n">
        <v>1121</v>
      </c>
      <c r="H1216" s="75" t="s">
        <v>2886</v>
      </c>
      <c r="I1216" s="72" t="s">
        <v>166</v>
      </c>
    </row>
    <row r="1217" customFormat="false" ht="15" hidden="false" customHeight="false" outlineLevel="0" collapsed="false">
      <c r="A1217" s="72" t="n">
        <v>1213</v>
      </c>
      <c r="B1217" s="72" t="s">
        <v>2887</v>
      </c>
      <c r="C1217" s="72" t="s">
        <v>204</v>
      </c>
      <c r="D1217" s="72" t="s">
        <v>1871</v>
      </c>
      <c r="E1217" s="73" t="s">
        <v>617</v>
      </c>
      <c r="F1217" s="72" t="s">
        <v>2248</v>
      </c>
      <c r="G1217" s="74" t="n">
        <v>1765</v>
      </c>
      <c r="H1217" s="75" t="s">
        <v>2888</v>
      </c>
      <c r="I1217" s="72" t="s">
        <v>166</v>
      </c>
    </row>
    <row r="1218" customFormat="false" ht="15" hidden="false" customHeight="false" outlineLevel="0" collapsed="false">
      <c r="A1218" s="72" t="n">
        <v>1214</v>
      </c>
      <c r="B1218" s="72" t="s">
        <v>2889</v>
      </c>
      <c r="C1218" s="72" t="s">
        <v>204</v>
      </c>
      <c r="D1218" s="72" t="s">
        <v>1871</v>
      </c>
      <c r="E1218" s="73" t="s">
        <v>617</v>
      </c>
      <c r="F1218" s="72" t="s">
        <v>2248</v>
      </c>
      <c r="G1218" s="74" t="n">
        <v>1834</v>
      </c>
      <c r="H1218" s="75" t="s">
        <v>2890</v>
      </c>
      <c r="I1218" s="72" t="s">
        <v>166</v>
      </c>
    </row>
    <row r="1219" customFormat="false" ht="15" hidden="false" customHeight="false" outlineLevel="0" collapsed="false">
      <c r="A1219" s="72" t="n">
        <v>1215</v>
      </c>
      <c r="B1219" s="72" t="s">
        <v>2891</v>
      </c>
      <c r="C1219" s="72" t="s">
        <v>204</v>
      </c>
      <c r="D1219" s="72" t="s">
        <v>1871</v>
      </c>
      <c r="E1219" s="73" t="s">
        <v>617</v>
      </c>
      <c r="F1219" s="72" t="s">
        <v>2248</v>
      </c>
      <c r="G1219" s="74" t="n">
        <v>1812</v>
      </c>
      <c r="H1219" s="75" t="s">
        <v>2892</v>
      </c>
      <c r="I1219" s="72" t="s">
        <v>166</v>
      </c>
    </row>
    <row r="1220" customFormat="false" ht="15" hidden="false" customHeight="false" outlineLevel="0" collapsed="false">
      <c r="A1220" s="72" t="n">
        <v>1216</v>
      </c>
      <c r="B1220" s="72" t="s">
        <v>2893</v>
      </c>
      <c r="C1220" s="72" t="s">
        <v>204</v>
      </c>
      <c r="D1220" s="72" t="s">
        <v>1871</v>
      </c>
      <c r="E1220" s="73" t="s">
        <v>617</v>
      </c>
      <c r="F1220" s="72" t="s">
        <v>2248</v>
      </c>
      <c r="G1220" s="74" t="n">
        <v>2487</v>
      </c>
      <c r="H1220" s="75" t="s">
        <v>2894</v>
      </c>
      <c r="I1220" s="72" t="s">
        <v>166</v>
      </c>
    </row>
    <row r="1221" customFormat="false" ht="15" hidden="false" customHeight="false" outlineLevel="0" collapsed="false">
      <c r="A1221" s="72" t="n">
        <v>1217</v>
      </c>
      <c r="B1221" s="72" t="s">
        <v>2895</v>
      </c>
      <c r="C1221" s="72" t="s">
        <v>204</v>
      </c>
      <c r="D1221" s="72" t="s">
        <v>1871</v>
      </c>
      <c r="E1221" s="73" t="s">
        <v>617</v>
      </c>
      <c r="F1221" s="72" t="s">
        <v>834</v>
      </c>
      <c r="G1221" s="74" t="n">
        <v>5379</v>
      </c>
      <c r="H1221" s="75" t="s">
        <v>2896</v>
      </c>
      <c r="I1221" s="72" t="s">
        <v>166</v>
      </c>
    </row>
    <row r="1222" customFormat="false" ht="15" hidden="false" customHeight="false" outlineLevel="0" collapsed="false">
      <c r="A1222" s="72" t="n">
        <v>1218</v>
      </c>
      <c r="B1222" s="72" t="s">
        <v>2897</v>
      </c>
      <c r="C1222" s="72" t="s">
        <v>204</v>
      </c>
      <c r="D1222" s="72" t="s">
        <v>1871</v>
      </c>
      <c r="E1222" s="73" t="s">
        <v>617</v>
      </c>
      <c r="F1222" s="72" t="s">
        <v>2248</v>
      </c>
      <c r="G1222" s="74" t="n">
        <v>1312</v>
      </c>
      <c r="H1222" s="75" t="s">
        <v>2898</v>
      </c>
      <c r="I1222" s="72" t="s">
        <v>166</v>
      </c>
    </row>
    <row r="1223" customFormat="false" ht="15" hidden="false" customHeight="false" outlineLevel="0" collapsed="false">
      <c r="A1223" s="72" t="n">
        <v>1219</v>
      </c>
      <c r="B1223" s="72" t="s">
        <v>2899</v>
      </c>
      <c r="C1223" s="72" t="s">
        <v>204</v>
      </c>
      <c r="D1223" s="72" t="s">
        <v>1871</v>
      </c>
      <c r="E1223" s="73" t="s">
        <v>617</v>
      </c>
      <c r="F1223" s="72" t="s">
        <v>2248</v>
      </c>
      <c r="G1223" s="74" t="n">
        <v>6129</v>
      </c>
      <c r="H1223" s="75" t="s">
        <v>2900</v>
      </c>
      <c r="I1223" s="72" t="s">
        <v>166</v>
      </c>
    </row>
    <row r="1224" customFormat="false" ht="15" hidden="false" customHeight="false" outlineLevel="0" collapsed="false">
      <c r="A1224" s="72" t="n">
        <v>1220</v>
      </c>
      <c r="B1224" s="72" t="s">
        <v>2901</v>
      </c>
      <c r="C1224" s="72" t="s">
        <v>204</v>
      </c>
      <c r="D1224" s="72" t="s">
        <v>1871</v>
      </c>
      <c r="E1224" s="73" t="s">
        <v>617</v>
      </c>
      <c r="F1224" s="72" t="s">
        <v>2248</v>
      </c>
      <c r="G1224" s="74" t="n">
        <v>691</v>
      </c>
      <c r="H1224" s="75" t="s">
        <v>2902</v>
      </c>
      <c r="I1224" s="72" t="s">
        <v>166</v>
      </c>
    </row>
    <row r="1225" customFormat="false" ht="15" hidden="false" customHeight="false" outlineLevel="0" collapsed="false">
      <c r="A1225" s="72" t="n">
        <v>1221</v>
      </c>
      <c r="B1225" s="72" t="s">
        <v>2903</v>
      </c>
      <c r="C1225" s="72" t="s">
        <v>204</v>
      </c>
      <c r="D1225" s="72" t="s">
        <v>1871</v>
      </c>
      <c r="E1225" s="73" t="s">
        <v>617</v>
      </c>
      <c r="F1225" s="72" t="s">
        <v>2248</v>
      </c>
      <c r="G1225" s="74" t="n">
        <v>962</v>
      </c>
      <c r="H1225" s="75" t="s">
        <v>2904</v>
      </c>
      <c r="I1225" s="72" t="s">
        <v>166</v>
      </c>
    </row>
    <row r="1226" customFormat="false" ht="15" hidden="false" customHeight="false" outlineLevel="0" collapsed="false">
      <c r="A1226" s="72" t="n">
        <v>1222</v>
      </c>
      <c r="B1226" s="72" t="s">
        <v>2905</v>
      </c>
      <c r="C1226" s="72" t="s">
        <v>204</v>
      </c>
      <c r="D1226" s="72" t="s">
        <v>1871</v>
      </c>
      <c r="E1226" s="73" t="s">
        <v>617</v>
      </c>
      <c r="F1226" s="72" t="s">
        <v>834</v>
      </c>
      <c r="G1226" s="74" t="n">
        <v>1206</v>
      </c>
      <c r="H1226" s="75" t="s">
        <v>2906</v>
      </c>
      <c r="I1226" s="72" t="s">
        <v>166</v>
      </c>
    </row>
    <row r="1227" customFormat="false" ht="15" hidden="false" customHeight="false" outlineLevel="0" collapsed="false">
      <c r="A1227" s="72" t="n">
        <v>1223</v>
      </c>
      <c r="B1227" s="72" t="s">
        <v>2907</v>
      </c>
      <c r="C1227" s="72" t="s">
        <v>204</v>
      </c>
      <c r="D1227" s="72" t="s">
        <v>1871</v>
      </c>
      <c r="E1227" s="73" t="s">
        <v>617</v>
      </c>
      <c r="F1227" s="72" t="s">
        <v>834</v>
      </c>
      <c r="G1227" s="74" t="n">
        <v>46</v>
      </c>
      <c r="H1227" s="75" t="s">
        <v>2908</v>
      </c>
      <c r="I1227" s="72" t="s">
        <v>166</v>
      </c>
    </row>
    <row r="1228" customFormat="false" ht="15" hidden="false" customHeight="false" outlineLevel="0" collapsed="false">
      <c r="A1228" s="72" t="n">
        <v>1224</v>
      </c>
      <c r="B1228" s="72" t="s">
        <v>2909</v>
      </c>
      <c r="C1228" s="72" t="s">
        <v>207</v>
      </c>
      <c r="D1228" s="72" t="s">
        <v>1878</v>
      </c>
      <c r="E1228" s="73" t="s">
        <v>617</v>
      </c>
      <c r="F1228" s="72" t="s">
        <v>2248</v>
      </c>
      <c r="G1228" s="74" t="n">
        <v>9647</v>
      </c>
      <c r="H1228" s="75" t="s">
        <v>2910</v>
      </c>
      <c r="I1228" s="72" t="s">
        <v>166</v>
      </c>
    </row>
    <row r="1229" customFormat="false" ht="15" hidden="false" customHeight="false" outlineLevel="0" collapsed="false">
      <c r="A1229" s="72" t="n">
        <v>1225</v>
      </c>
      <c r="B1229" s="72" t="s">
        <v>2911</v>
      </c>
      <c r="C1229" s="72" t="s">
        <v>207</v>
      </c>
      <c r="D1229" s="72" t="s">
        <v>1878</v>
      </c>
      <c r="E1229" s="73" t="s">
        <v>617</v>
      </c>
      <c r="F1229" s="72" t="s">
        <v>2248</v>
      </c>
      <c r="G1229" s="74" t="n">
        <v>957</v>
      </c>
      <c r="H1229" s="75" t="s">
        <v>2912</v>
      </c>
      <c r="I1229" s="72" t="s">
        <v>166</v>
      </c>
    </row>
    <row r="1230" customFormat="false" ht="15" hidden="false" customHeight="false" outlineLevel="0" collapsed="false">
      <c r="A1230" s="72" t="n">
        <v>1226</v>
      </c>
      <c r="B1230" s="72" t="s">
        <v>2913</v>
      </c>
      <c r="C1230" s="72" t="s">
        <v>207</v>
      </c>
      <c r="D1230" s="72" t="s">
        <v>1878</v>
      </c>
      <c r="E1230" s="73" t="s">
        <v>617</v>
      </c>
      <c r="F1230" s="72" t="s">
        <v>2248</v>
      </c>
      <c r="G1230" s="74" t="n">
        <v>10718</v>
      </c>
      <c r="H1230" s="75" t="s">
        <v>2914</v>
      </c>
      <c r="I1230" s="72" t="s">
        <v>166</v>
      </c>
    </row>
    <row r="1231" customFormat="false" ht="15" hidden="false" customHeight="false" outlineLevel="0" collapsed="false">
      <c r="A1231" s="72" t="n">
        <v>1227</v>
      </c>
      <c r="B1231" s="72" t="s">
        <v>2915</v>
      </c>
      <c r="C1231" s="72" t="s">
        <v>207</v>
      </c>
      <c r="D1231" s="72" t="s">
        <v>1878</v>
      </c>
      <c r="E1231" s="73" t="s">
        <v>617</v>
      </c>
      <c r="F1231" s="72" t="s">
        <v>2248</v>
      </c>
      <c r="G1231" s="74" t="n">
        <v>956</v>
      </c>
      <c r="H1231" s="75" t="s">
        <v>2916</v>
      </c>
      <c r="I1231" s="72" t="s">
        <v>166</v>
      </c>
    </row>
    <row r="1232" customFormat="false" ht="15" hidden="false" customHeight="false" outlineLevel="0" collapsed="false">
      <c r="A1232" s="72" t="n">
        <v>1228</v>
      </c>
      <c r="B1232" s="72" t="s">
        <v>2917</v>
      </c>
      <c r="C1232" s="72" t="s">
        <v>207</v>
      </c>
      <c r="D1232" s="72" t="s">
        <v>1878</v>
      </c>
      <c r="E1232" s="73" t="s">
        <v>617</v>
      </c>
      <c r="F1232" s="72" t="s">
        <v>2248</v>
      </c>
      <c r="G1232" s="74" t="n">
        <v>5262</v>
      </c>
      <c r="H1232" s="75" t="s">
        <v>2918</v>
      </c>
      <c r="I1232" s="72" t="s">
        <v>166</v>
      </c>
    </row>
    <row r="1233" customFormat="false" ht="15" hidden="false" customHeight="false" outlineLevel="0" collapsed="false">
      <c r="A1233" s="72" t="n">
        <v>1229</v>
      </c>
      <c r="B1233" s="72" t="s">
        <v>2919</v>
      </c>
      <c r="C1233" s="72" t="s">
        <v>207</v>
      </c>
      <c r="D1233" s="72" t="s">
        <v>1878</v>
      </c>
      <c r="E1233" s="73" t="s">
        <v>617</v>
      </c>
      <c r="F1233" s="72" t="s">
        <v>2248</v>
      </c>
      <c r="G1233" s="74" t="n">
        <v>12292</v>
      </c>
      <c r="H1233" s="75" t="s">
        <v>2920</v>
      </c>
      <c r="I1233" s="72" t="s">
        <v>166</v>
      </c>
    </row>
    <row r="1234" customFormat="false" ht="15" hidden="false" customHeight="false" outlineLevel="0" collapsed="false">
      <c r="A1234" s="72" t="n">
        <v>1230</v>
      </c>
      <c r="B1234" s="72" t="s">
        <v>2921</v>
      </c>
      <c r="C1234" s="72" t="s">
        <v>207</v>
      </c>
      <c r="D1234" s="72" t="s">
        <v>1878</v>
      </c>
      <c r="E1234" s="73" t="s">
        <v>617</v>
      </c>
      <c r="F1234" s="72" t="s">
        <v>2248</v>
      </c>
      <c r="G1234" s="74" t="n">
        <v>1871</v>
      </c>
      <c r="H1234" s="75" t="s">
        <v>2922</v>
      </c>
      <c r="I1234" s="72" t="s">
        <v>166</v>
      </c>
    </row>
    <row r="1235" customFormat="false" ht="15" hidden="false" customHeight="false" outlineLevel="0" collapsed="false">
      <c r="A1235" s="72" t="n">
        <v>1231</v>
      </c>
      <c r="B1235" s="72" t="s">
        <v>2923</v>
      </c>
      <c r="C1235" s="72" t="s">
        <v>207</v>
      </c>
      <c r="D1235" s="72" t="s">
        <v>1878</v>
      </c>
      <c r="E1235" s="73" t="s">
        <v>617</v>
      </c>
      <c r="F1235" s="72" t="s">
        <v>2248</v>
      </c>
      <c r="G1235" s="74" t="n">
        <v>5508</v>
      </c>
      <c r="H1235" s="75" t="s">
        <v>2924</v>
      </c>
      <c r="I1235" s="72" t="s">
        <v>166</v>
      </c>
    </row>
    <row r="1236" customFormat="false" ht="15" hidden="false" customHeight="false" outlineLevel="0" collapsed="false">
      <c r="A1236" s="72" t="n">
        <v>1232</v>
      </c>
      <c r="B1236" s="72" t="s">
        <v>2925</v>
      </c>
      <c r="C1236" s="72" t="s">
        <v>207</v>
      </c>
      <c r="D1236" s="72" t="s">
        <v>1878</v>
      </c>
      <c r="E1236" s="73" t="s">
        <v>617</v>
      </c>
      <c r="F1236" s="72" t="s">
        <v>2248</v>
      </c>
      <c r="G1236" s="74" t="n">
        <v>4558</v>
      </c>
      <c r="H1236" s="75" t="s">
        <v>2926</v>
      </c>
      <c r="I1236" s="72" t="s">
        <v>166</v>
      </c>
    </row>
    <row r="1237" customFormat="false" ht="15" hidden="false" customHeight="false" outlineLevel="0" collapsed="false">
      <c r="A1237" s="72" t="n">
        <v>1233</v>
      </c>
      <c r="B1237" s="72" t="s">
        <v>2927</v>
      </c>
      <c r="C1237" s="72" t="s">
        <v>207</v>
      </c>
      <c r="D1237" s="72" t="s">
        <v>1878</v>
      </c>
      <c r="E1237" s="73" t="s">
        <v>617</v>
      </c>
      <c r="F1237" s="72" t="s">
        <v>2248</v>
      </c>
      <c r="G1237" s="74" t="n">
        <v>4007</v>
      </c>
      <c r="H1237" s="75" t="s">
        <v>2928</v>
      </c>
      <c r="I1237" s="72" t="s">
        <v>166</v>
      </c>
    </row>
    <row r="1238" customFormat="false" ht="15" hidden="false" customHeight="false" outlineLevel="0" collapsed="false">
      <c r="A1238" s="72" t="n">
        <v>1234</v>
      </c>
      <c r="B1238" s="72" t="s">
        <v>2929</v>
      </c>
      <c r="C1238" s="72" t="s">
        <v>207</v>
      </c>
      <c r="D1238" s="72" t="s">
        <v>1878</v>
      </c>
      <c r="E1238" s="73" t="s">
        <v>617</v>
      </c>
      <c r="F1238" s="72" t="s">
        <v>2248</v>
      </c>
      <c r="G1238" s="74" t="n">
        <v>7240</v>
      </c>
      <c r="H1238" s="75" t="s">
        <v>2930</v>
      </c>
      <c r="I1238" s="72" t="s">
        <v>166</v>
      </c>
    </row>
    <row r="1239" customFormat="false" ht="15" hidden="false" customHeight="false" outlineLevel="0" collapsed="false">
      <c r="A1239" s="72" t="n">
        <v>1235</v>
      </c>
      <c r="B1239" s="72" t="s">
        <v>2931</v>
      </c>
      <c r="C1239" s="72" t="s">
        <v>207</v>
      </c>
      <c r="D1239" s="72" t="s">
        <v>1878</v>
      </c>
      <c r="E1239" s="73" t="s">
        <v>617</v>
      </c>
      <c r="F1239" s="72" t="s">
        <v>2248</v>
      </c>
      <c r="G1239" s="74" t="n">
        <v>5847</v>
      </c>
      <c r="H1239" s="75" t="s">
        <v>2932</v>
      </c>
      <c r="I1239" s="72" t="s">
        <v>166</v>
      </c>
    </row>
    <row r="1240" customFormat="false" ht="15" hidden="false" customHeight="false" outlineLevel="0" collapsed="false">
      <c r="A1240" s="72" t="n">
        <v>1236</v>
      </c>
      <c r="B1240" s="72" t="s">
        <v>2933</v>
      </c>
      <c r="C1240" s="72" t="s">
        <v>207</v>
      </c>
      <c r="D1240" s="72" t="s">
        <v>1878</v>
      </c>
      <c r="E1240" s="73" t="s">
        <v>617</v>
      </c>
      <c r="F1240" s="72" t="s">
        <v>2248</v>
      </c>
      <c r="G1240" s="74" t="n">
        <v>2970</v>
      </c>
      <c r="H1240" s="75" t="s">
        <v>2934</v>
      </c>
      <c r="I1240" s="72" t="s">
        <v>166</v>
      </c>
    </row>
    <row r="1241" customFormat="false" ht="15" hidden="false" customHeight="false" outlineLevel="0" collapsed="false">
      <c r="A1241" s="72" t="n">
        <v>1237</v>
      </c>
      <c r="B1241" s="72" t="s">
        <v>2935</v>
      </c>
      <c r="C1241" s="72" t="s">
        <v>207</v>
      </c>
      <c r="D1241" s="72" t="s">
        <v>1878</v>
      </c>
      <c r="E1241" s="73" t="s">
        <v>617</v>
      </c>
      <c r="F1241" s="72" t="s">
        <v>2248</v>
      </c>
      <c r="G1241" s="74" t="n">
        <v>8208</v>
      </c>
      <c r="H1241" s="75" t="s">
        <v>2936</v>
      </c>
      <c r="I1241" s="72" t="s">
        <v>166</v>
      </c>
    </row>
    <row r="1242" customFormat="false" ht="15" hidden="false" customHeight="false" outlineLevel="0" collapsed="false">
      <c r="A1242" s="72" t="n">
        <v>1238</v>
      </c>
      <c r="B1242" s="72" t="s">
        <v>2937</v>
      </c>
      <c r="C1242" s="72" t="s">
        <v>207</v>
      </c>
      <c r="D1242" s="72" t="s">
        <v>1878</v>
      </c>
      <c r="E1242" s="73" t="s">
        <v>617</v>
      </c>
      <c r="F1242" s="72" t="s">
        <v>2248</v>
      </c>
      <c r="G1242" s="74" t="n">
        <v>10524</v>
      </c>
      <c r="H1242" s="75" t="s">
        <v>2938</v>
      </c>
      <c r="I1242" s="72" t="s">
        <v>166</v>
      </c>
    </row>
    <row r="1243" customFormat="false" ht="15" hidden="false" customHeight="false" outlineLevel="0" collapsed="false">
      <c r="A1243" s="72" t="n">
        <v>1239</v>
      </c>
      <c r="B1243" s="72" t="s">
        <v>2939</v>
      </c>
      <c r="C1243" s="72" t="s">
        <v>207</v>
      </c>
      <c r="D1243" s="72" t="s">
        <v>1878</v>
      </c>
      <c r="E1243" s="73" t="s">
        <v>617</v>
      </c>
      <c r="F1243" s="72" t="s">
        <v>2248</v>
      </c>
      <c r="G1243" s="74" t="n">
        <v>1858</v>
      </c>
      <c r="H1243" s="75" t="s">
        <v>2940</v>
      </c>
      <c r="I1243" s="72" t="s">
        <v>166</v>
      </c>
    </row>
    <row r="1244" customFormat="false" ht="15" hidden="false" customHeight="false" outlineLevel="0" collapsed="false">
      <c r="A1244" s="72" t="n">
        <v>1240</v>
      </c>
      <c r="B1244" s="72" t="s">
        <v>2941</v>
      </c>
      <c r="C1244" s="72" t="s">
        <v>207</v>
      </c>
      <c r="D1244" s="72" t="s">
        <v>1878</v>
      </c>
      <c r="E1244" s="73" t="s">
        <v>617</v>
      </c>
      <c r="F1244" s="72" t="s">
        <v>2248</v>
      </c>
      <c r="G1244" s="74" t="n">
        <v>2070</v>
      </c>
      <c r="H1244" s="75" t="s">
        <v>2942</v>
      </c>
      <c r="I1244" s="72" t="s">
        <v>166</v>
      </c>
    </row>
    <row r="1245" customFormat="false" ht="15" hidden="false" customHeight="false" outlineLevel="0" collapsed="false">
      <c r="A1245" s="72" t="n">
        <v>1241</v>
      </c>
      <c r="B1245" s="72" t="s">
        <v>2943</v>
      </c>
      <c r="C1245" s="72" t="s">
        <v>207</v>
      </c>
      <c r="D1245" s="72" t="s">
        <v>1878</v>
      </c>
      <c r="E1245" s="73" t="s">
        <v>617</v>
      </c>
      <c r="F1245" s="72" t="s">
        <v>2248</v>
      </c>
      <c r="G1245" s="74" t="n">
        <v>1371</v>
      </c>
      <c r="H1245" s="75" t="s">
        <v>2944</v>
      </c>
      <c r="I1245" s="72" t="s">
        <v>166</v>
      </c>
    </row>
    <row r="1246" customFormat="false" ht="15" hidden="false" customHeight="false" outlineLevel="0" collapsed="false">
      <c r="A1246" s="72" t="n">
        <v>1242</v>
      </c>
      <c r="B1246" s="72" t="s">
        <v>2945</v>
      </c>
      <c r="C1246" s="72" t="s">
        <v>207</v>
      </c>
      <c r="D1246" s="72" t="s">
        <v>1878</v>
      </c>
      <c r="E1246" s="73" t="s">
        <v>617</v>
      </c>
      <c r="F1246" s="72" t="s">
        <v>2248</v>
      </c>
      <c r="G1246" s="74" t="n">
        <v>858</v>
      </c>
      <c r="H1246" s="75" t="s">
        <v>2946</v>
      </c>
      <c r="I1246" s="72" t="s">
        <v>166</v>
      </c>
    </row>
    <row r="1247" customFormat="false" ht="15" hidden="false" customHeight="false" outlineLevel="0" collapsed="false">
      <c r="A1247" s="72" t="n">
        <v>1243</v>
      </c>
      <c r="B1247" s="72" t="s">
        <v>2947</v>
      </c>
      <c r="C1247" s="72" t="s">
        <v>207</v>
      </c>
      <c r="D1247" s="72" t="s">
        <v>1878</v>
      </c>
      <c r="E1247" s="73" t="s">
        <v>617</v>
      </c>
      <c r="F1247" s="72" t="s">
        <v>2248</v>
      </c>
      <c r="G1247" s="74" t="n">
        <v>1773</v>
      </c>
      <c r="H1247" s="75" t="s">
        <v>2948</v>
      </c>
      <c r="I1247" s="72" t="s">
        <v>166</v>
      </c>
    </row>
    <row r="1248" customFormat="false" ht="15" hidden="false" customHeight="false" outlineLevel="0" collapsed="false">
      <c r="A1248" s="72" t="n">
        <v>1244</v>
      </c>
      <c r="B1248" s="72" t="s">
        <v>2949</v>
      </c>
      <c r="C1248" s="72" t="s">
        <v>207</v>
      </c>
      <c r="D1248" s="72" t="s">
        <v>1878</v>
      </c>
      <c r="E1248" s="73" t="s">
        <v>617</v>
      </c>
      <c r="F1248" s="72" t="s">
        <v>2248</v>
      </c>
      <c r="G1248" s="74" t="n">
        <v>2076</v>
      </c>
      <c r="H1248" s="75" t="s">
        <v>2950</v>
      </c>
      <c r="I1248" s="72" t="s">
        <v>166</v>
      </c>
    </row>
    <row r="1249" customFormat="false" ht="15" hidden="false" customHeight="false" outlineLevel="0" collapsed="false">
      <c r="A1249" s="72" t="n">
        <v>1245</v>
      </c>
      <c r="B1249" s="72" t="s">
        <v>2951</v>
      </c>
      <c r="C1249" s="72" t="s">
        <v>207</v>
      </c>
      <c r="D1249" s="72" t="s">
        <v>1878</v>
      </c>
      <c r="E1249" s="73" t="s">
        <v>617</v>
      </c>
      <c r="F1249" s="72" t="s">
        <v>2248</v>
      </c>
      <c r="G1249" s="74" t="n">
        <v>1519</v>
      </c>
      <c r="H1249" s="75" t="s">
        <v>2952</v>
      </c>
      <c r="I1249" s="72" t="s">
        <v>166</v>
      </c>
    </row>
    <row r="1250" customFormat="false" ht="15" hidden="false" customHeight="false" outlineLevel="0" collapsed="false">
      <c r="A1250" s="72" t="n">
        <v>1246</v>
      </c>
      <c r="B1250" s="72" t="s">
        <v>2953</v>
      </c>
      <c r="C1250" s="72" t="s">
        <v>207</v>
      </c>
      <c r="D1250" s="72" t="s">
        <v>1878</v>
      </c>
      <c r="E1250" s="73" t="s">
        <v>866</v>
      </c>
      <c r="F1250" s="72" t="s">
        <v>867</v>
      </c>
      <c r="G1250" s="74" t="n">
        <v>2699</v>
      </c>
      <c r="H1250" s="75" t="s">
        <v>2954</v>
      </c>
      <c r="I1250" s="72" t="s">
        <v>166</v>
      </c>
    </row>
    <row r="1251" customFormat="false" ht="15" hidden="false" customHeight="false" outlineLevel="0" collapsed="false">
      <c r="A1251" s="72" t="n">
        <v>1247</v>
      </c>
      <c r="B1251" s="72" t="s">
        <v>2955</v>
      </c>
      <c r="C1251" s="72" t="s">
        <v>207</v>
      </c>
      <c r="D1251" s="72" t="s">
        <v>1878</v>
      </c>
      <c r="E1251" s="73" t="s">
        <v>617</v>
      </c>
      <c r="F1251" s="72" t="s">
        <v>2248</v>
      </c>
      <c r="G1251" s="74" t="n">
        <v>2340</v>
      </c>
      <c r="H1251" s="75" t="s">
        <v>2956</v>
      </c>
      <c r="I1251" s="72" t="s">
        <v>166</v>
      </c>
    </row>
    <row r="1252" customFormat="false" ht="15" hidden="false" customHeight="false" outlineLevel="0" collapsed="false">
      <c r="A1252" s="72" t="n">
        <v>1248</v>
      </c>
      <c r="B1252" s="72" t="s">
        <v>2957</v>
      </c>
      <c r="C1252" s="72" t="s">
        <v>207</v>
      </c>
      <c r="D1252" s="72" t="s">
        <v>1878</v>
      </c>
      <c r="E1252" s="73" t="s">
        <v>617</v>
      </c>
      <c r="F1252" s="72" t="s">
        <v>2248</v>
      </c>
      <c r="G1252" s="74" t="n">
        <v>2546</v>
      </c>
      <c r="H1252" s="75" t="s">
        <v>2958</v>
      </c>
      <c r="I1252" s="72" t="s">
        <v>166</v>
      </c>
    </row>
    <row r="1253" customFormat="false" ht="15" hidden="false" customHeight="false" outlineLevel="0" collapsed="false">
      <c r="A1253" s="72" t="n">
        <v>1249</v>
      </c>
      <c r="B1253" s="72" t="s">
        <v>2959</v>
      </c>
      <c r="C1253" s="72" t="s">
        <v>207</v>
      </c>
      <c r="D1253" s="72" t="s">
        <v>1878</v>
      </c>
      <c r="E1253" s="73" t="s">
        <v>617</v>
      </c>
      <c r="F1253" s="72" t="s">
        <v>2248</v>
      </c>
      <c r="G1253" s="74" t="n">
        <v>3117</v>
      </c>
      <c r="H1253" s="75" t="s">
        <v>2960</v>
      </c>
      <c r="I1253" s="72" t="s">
        <v>166</v>
      </c>
    </row>
    <row r="1254" customFormat="false" ht="15" hidden="false" customHeight="false" outlineLevel="0" collapsed="false">
      <c r="A1254" s="72" t="n">
        <v>1250</v>
      </c>
      <c r="B1254" s="72" t="s">
        <v>2961</v>
      </c>
      <c r="C1254" s="72" t="s">
        <v>207</v>
      </c>
      <c r="D1254" s="72" t="s">
        <v>1878</v>
      </c>
      <c r="E1254" s="73" t="s">
        <v>617</v>
      </c>
      <c r="F1254" s="72" t="s">
        <v>2248</v>
      </c>
      <c r="G1254" s="74" t="n">
        <v>1017</v>
      </c>
      <c r="H1254" s="75" t="s">
        <v>2962</v>
      </c>
      <c r="I1254" s="72" t="s">
        <v>166</v>
      </c>
    </row>
    <row r="1255" customFormat="false" ht="15" hidden="false" customHeight="false" outlineLevel="0" collapsed="false">
      <c r="A1255" s="72" t="n">
        <v>1251</v>
      </c>
      <c r="B1255" s="72" t="s">
        <v>2963</v>
      </c>
      <c r="C1255" s="72" t="s">
        <v>207</v>
      </c>
      <c r="D1255" s="72" t="s">
        <v>1878</v>
      </c>
      <c r="E1255" s="73" t="s">
        <v>617</v>
      </c>
      <c r="F1255" s="72" t="s">
        <v>2248</v>
      </c>
      <c r="G1255" s="74" t="n">
        <v>1452</v>
      </c>
      <c r="H1255" s="75" t="s">
        <v>2964</v>
      </c>
      <c r="I1255" s="72" t="s">
        <v>166</v>
      </c>
    </row>
    <row r="1256" customFormat="false" ht="15" hidden="false" customHeight="false" outlineLevel="0" collapsed="false">
      <c r="A1256" s="72" t="n">
        <v>1252</v>
      </c>
      <c r="B1256" s="72" t="s">
        <v>2965</v>
      </c>
      <c r="C1256" s="72" t="s">
        <v>207</v>
      </c>
      <c r="D1256" s="72" t="s">
        <v>1878</v>
      </c>
      <c r="E1256" s="73" t="s">
        <v>617</v>
      </c>
      <c r="F1256" s="72" t="s">
        <v>834</v>
      </c>
      <c r="G1256" s="74" t="n">
        <v>39463</v>
      </c>
      <c r="H1256" s="75" t="s">
        <v>2966</v>
      </c>
      <c r="I1256" s="72" t="s">
        <v>166</v>
      </c>
    </row>
    <row r="1257" customFormat="false" ht="15" hidden="false" customHeight="false" outlineLevel="0" collapsed="false">
      <c r="A1257" s="72" t="n">
        <v>1253</v>
      </c>
      <c r="B1257" s="72" t="s">
        <v>2967</v>
      </c>
      <c r="C1257" s="72" t="s">
        <v>207</v>
      </c>
      <c r="D1257" s="72" t="s">
        <v>1878</v>
      </c>
      <c r="E1257" s="73" t="s">
        <v>617</v>
      </c>
      <c r="F1257" s="72" t="s">
        <v>834</v>
      </c>
      <c r="G1257" s="74" t="n">
        <v>5637</v>
      </c>
      <c r="H1257" s="75" t="s">
        <v>2968</v>
      </c>
      <c r="I1257" s="72" t="s">
        <v>166</v>
      </c>
    </row>
    <row r="1258" customFormat="false" ht="15" hidden="false" customHeight="false" outlineLevel="0" collapsed="false">
      <c r="A1258" s="72" t="n">
        <v>1254</v>
      </c>
      <c r="B1258" s="72" t="s">
        <v>2969</v>
      </c>
      <c r="C1258" s="72" t="s">
        <v>207</v>
      </c>
      <c r="D1258" s="72" t="s">
        <v>1878</v>
      </c>
      <c r="E1258" s="73" t="s">
        <v>617</v>
      </c>
      <c r="F1258" s="72" t="s">
        <v>834</v>
      </c>
      <c r="G1258" s="74" t="n">
        <v>4194</v>
      </c>
      <c r="H1258" s="75" t="s">
        <v>2970</v>
      </c>
      <c r="I1258" s="72" t="s">
        <v>166</v>
      </c>
    </row>
    <row r="1259" customFormat="false" ht="15" hidden="false" customHeight="false" outlineLevel="0" collapsed="false">
      <c r="A1259" s="72" t="n">
        <v>1255</v>
      </c>
      <c r="B1259" s="72" t="s">
        <v>2971</v>
      </c>
      <c r="C1259" s="72" t="s">
        <v>210</v>
      </c>
      <c r="D1259" s="72" t="s">
        <v>1945</v>
      </c>
      <c r="E1259" s="73" t="s">
        <v>617</v>
      </c>
      <c r="F1259" s="72" t="s">
        <v>2248</v>
      </c>
      <c r="G1259" s="74" t="n">
        <v>1094</v>
      </c>
      <c r="H1259" s="75" t="s">
        <v>2972</v>
      </c>
      <c r="I1259" s="72" t="s">
        <v>166</v>
      </c>
    </row>
    <row r="1260" customFormat="false" ht="15" hidden="false" customHeight="false" outlineLevel="0" collapsed="false">
      <c r="A1260" s="72" t="n">
        <v>1256</v>
      </c>
      <c r="B1260" s="72" t="s">
        <v>2973</v>
      </c>
      <c r="C1260" s="72" t="s">
        <v>210</v>
      </c>
      <c r="D1260" s="72" t="s">
        <v>1945</v>
      </c>
      <c r="E1260" s="73" t="s">
        <v>617</v>
      </c>
      <c r="F1260" s="72" t="s">
        <v>2248</v>
      </c>
      <c r="G1260" s="74" t="n">
        <v>4131</v>
      </c>
      <c r="H1260" s="75" t="s">
        <v>2974</v>
      </c>
      <c r="I1260" s="72" t="s">
        <v>166</v>
      </c>
    </row>
    <row r="1261" customFormat="false" ht="15" hidden="false" customHeight="false" outlineLevel="0" collapsed="false">
      <c r="A1261" s="72" t="n">
        <v>1257</v>
      </c>
      <c r="B1261" s="72" t="s">
        <v>2975</v>
      </c>
      <c r="C1261" s="72" t="s">
        <v>210</v>
      </c>
      <c r="D1261" s="72" t="s">
        <v>1945</v>
      </c>
      <c r="E1261" s="73" t="s">
        <v>617</v>
      </c>
      <c r="F1261" s="72" t="s">
        <v>2248</v>
      </c>
      <c r="G1261" s="74" t="n">
        <v>3750</v>
      </c>
      <c r="H1261" s="75" t="s">
        <v>2976</v>
      </c>
      <c r="I1261" s="72" t="s">
        <v>166</v>
      </c>
    </row>
    <row r="1262" customFormat="false" ht="15" hidden="false" customHeight="false" outlineLevel="0" collapsed="false">
      <c r="A1262" s="72" t="n">
        <v>1258</v>
      </c>
      <c r="B1262" s="72" t="s">
        <v>2977</v>
      </c>
      <c r="C1262" s="72" t="s">
        <v>210</v>
      </c>
      <c r="D1262" s="72" t="s">
        <v>1945</v>
      </c>
      <c r="E1262" s="73" t="s">
        <v>617</v>
      </c>
      <c r="F1262" s="72" t="s">
        <v>2248</v>
      </c>
      <c r="G1262" s="74" t="n">
        <v>2558</v>
      </c>
      <c r="H1262" s="75" t="s">
        <v>2978</v>
      </c>
      <c r="I1262" s="72" t="s">
        <v>166</v>
      </c>
    </row>
    <row r="1263" customFormat="false" ht="15" hidden="false" customHeight="false" outlineLevel="0" collapsed="false">
      <c r="A1263" s="72" t="n">
        <v>1259</v>
      </c>
      <c r="B1263" s="72" t="s">
        <v>2979</v>
      </c>
      <c r="C1263" s="72" t="s">
        <v>210</v>
      </c>
      <c r="D1263" s="72" t="s">
        <v>1945</v>
      </c>
      <c r="E1263" s="73" t="s">
        <v>617</v>
      </c>
      <c r="F1263" s="72" t="s">
        <v>2248</v>
      </c>
      <c r="G1263" s="74" t="n">
        <v>4726</v>
      </c>
      <c r="H1263" s="75" t="s">
        <v>2980</v>
      </c>
      <c r="I1263" s="72" t="s">
        <v>166</v>
      </c>
    </row>
    <row r="1264" customFormat="false" ht="15" hidden="false" customHeight="false" outlineLevel="0" collapsed="false">
      <c r="A1264" s="72" t="n">
        <v>1260</v>
      </c>
      <c r="B1264" s="72" t="s">
        <v>2981</v>
      </c>
      <c r="C1264" s="72" t="s">
        <v>210</v>
      </c>
      <c r="D1264" s="72" t="s">
        <v>1945</v>
      </c>
      <c r="E1264" s="73" t="s">
        <v>617</v>
      </c>
      <c r="F1264" s="72" t="s">
        <v>2248</v>
      </c>
      <c r="G1264" s="74" t="n">
        <v>1632</v>
      </c>
      <c r="H1264" s="75" t="s">
        <v>2982</v>
      </c>
      <c r="I1264" s="72" t="s">
        <v>166</v>
      </c>
    </row>
    <row r="1265" customFormat="false" ht="15" hidden="false" customHeight="false" outlineLevel="0" collapsed="false">
      <c r="A1265" s="72" t="n">
        <v>1261</v>
      </c>
      <c r="B1265" s="72" t="s">
        <v>2983</v>
      </c>
      <c r="C1265" s="72" t="s">
        <v>210</v>
      </c>
      <c r="D1265" s="72" t="s">
        <v>1945</v>
      </c>
      <c r="E1265" s="73" t="s">
        <v>617</v>
      </c>
      <c r="F1265" s="72" t="s">
        <v>2248</v>
      </c>
      <c r="G1265" s="74" t="n">
        <v>2632</v>
      </c>
      <c r="H1265" s="75" t="s">
        <v>2984</v>
      </c>
      <c r="I1265" s="72" t="s">
        <v>166</v>
      </c>
    </row>
    <row r="1266" customFormat="false" ht="15" hidden="false" customHeight="false" outlineLevel="0" collapsed="false">
      <c r="A1266" s="72" t="n">
        <v>1262</v>
      </c>
      <c r="B1266" s="72" t="s">
        <v>2985</v>
      </c>
      <c r="C1266" s="72" t="s">
        <v>210</v>
      </c>
      <c r="D1266" s="72" t="s">
        <v>1945</v>
      </c>
      <c r="E1266" s="73" t="s">
        <v>617</v>
      </c>
      <c r="F1266" s="72" t="s">
        <v>2248</v>
      </c>
      <c r="G1266" s="74" t="n">
        <v>4399</v>
      </c>
      <c r="H1266" s="75" t="s">
        <v>2986</v>
      </c>
      <c r="I1266" s="72" t="s">
        <v>166</v>
      </c>
    </row>
    <row r="1267" customFormat="false" ht="15" hidden="false" customHeight="false" outlineLevel="0" collapsed="false">
      <c r="A1267" s="72" t="n">
        <v>1263</v>
      </c>
      <c r="B1267" s="72" t="s">
        <v>2987</v>
      </c>
      <c r="C1267" s="72" t="s">
        <v>210</v>
      </c>
      <c r="D1267" s="72" t="s">
        <v>1945</v>
      </c>
      <c r="E1267" s="73" t="s">
        <v>617</v>
      </c>
      <c r="F1267" s="72" t="s">
        <v>2248</v>
      </c>
      <c r="G1267" s="74" t="n">
        <v>3219</v>
      </c>
      <c r="H1267" s="75" t="s">
        <v>2988</v>
      </c>
      <c r="I1267" s="72" t="s">
        <v>166</v>
      </c>
    </row>
    <row r="1268" customFormat="false" ht="15" hidden="false" customHeight="false" outlineLevel="0" collapsed="false">
      <c r="A1268" s="72" t="n">
        <v>1264</v>
      </c>
      <c r="B1268" s="72" t="s">
        <v>2989</v>
      </c>
      <c r="C1268" s="72" t="s">
        <v>210</v>
      </c>
      <c r="D1268" s="72" t="s">
        <v>1945</v>
      </c>
      <c r="E1268" s="73" t="s">
        <v>617</v>
      </c>
      <c r="F1268" s="72" t="s">
        <v>2248</v>
      </c>
      <c r="G1268" s="74" t="n">
        <v>2486</v>
      </c>
      <c r="H1268" s="75" t="s">
        <v>2990</v>
      </c>
      <c r="I1268" s="72" t="s">
        <v>166</v>
      </c>
    </row>
    <row r="1269" customFormat="false" ht="15" hidden="false" customHeight="false" outlineLevel="0" collapsed="false">
      <c r="A1269" s="72" t="n">
        <v>1265</v>
      </c>
      <c r="B1269" s="72" t="s">
        <v>2991</v>
      </c>
      <c r="C1269" s="72" t="s">
        <v>210</v>
      </c>
      <c r="D1269" s="72" t="s">
        <v>1945</v>
      </c>
      <c r="E1269" s="73" t="s">
        <v>617</v>
      </c>
      <c r="F1269" s="72" t="s">
        <v>2248</v>
      </c>
      <c r="G1269" s="74" t="n">
        <v>7442</v>
      </c>
      <c r="H1269" s="75" t="s">
        <v>2992</v>
      </c>
      <c r="I1269" s="72" t="s">
        <v>166</v>
      </c>
    </row>
    <row r="1270" customFormat="false" ht="15" hidden="false" customHeight="false" outlineLevel="0" collapsed="false">
      <c r="A1270" s="72" t="n">
        <v>1266</v>
      </c>
      <c r="B1270" s="72" t="s">
        <v>2993</v>
      </c>
      <c r="C1270" s="72" t="s">
        <v>210</v>
      </c>
      <c r="D1270" s="72" t="s">
        <v>1945</v>
      </c>
      <c r="E1270" s="73" t="s">
        <v>617</v>
      </c>
      <c r="F1270" s="72" t="s">
        <v>2248</v>
      </c>
      <c r="G1270" s="74" t="n">
        <v>2955</v>
      </c>
      <c r="H1270" s="75" t="s">
        <v>2994</v>
      </c>
      <c r="I1270" s="72" t="s">
        <v>166</v>
      </c>
    </row>
    <row r="1271" customFormat="false" ht="15" hidden="false" customHeight="false" outlineLevel="0" collapsed="false">
      <c r="A1271" s="72" t="n">
        <v>1267</v>
      </c>
      <c r="B1271" s="72" t="s">
        <v>2995</v>
      </c>
      <c r="C1271" s="72" t="s">
        <v>210</v>
      </c>
      <c r="D1271" s="72" t="s">
        <v>1945</v>
      </c>
      <c r="E1271" s="73" t="s">
        <v>617</v>
      </c>
      <c r="F1271" s="72" t="s">
        <v>2248</v>
      </c>
      <c r="G1271" s="74" t="n">
        <v>3567</v>
      </c>
      <c r="H1271" s="75" t="s">
        <v>2996</v>
      </c>
      <c r="I1271" s="72" t="s">
        <v>166</v>
      </c>
    </row>
    <row r="1272" customFormat="false" ht="15" hidden="false" customHeight="false" outlineLevel="0" collapsed="false">
      <c r="A1272" s="72" t="n">
        <v>1268</v>
      </c>
      <c r="B1272" s="72" t="s">
        <v>2997</v>
      </c>
      <c r="C1272" s="72" t="s">
        <v>210</v>
      </c>
      <c r="D1272" s="72" t="s">
        <v>1945</v>
      </c>
      <c r="E1272" s="73" t="s">
        <v>617</v>
      </c>
      <c r="F1272" s="72" t="s">
        <v>2248</v>
      </c>
      <c r="G1272" s="74" t="n">
        <v>1926</v>
      </c>
      <c r="H1272" s="75" t="s">
        <v>2998</v>
      </c>
      <c r="I1272" s="72" t="s">
        <v>166</v>
      </c>
    </row>
    <row r="1273" customFormat="false" ht="15" hidden="false" customHeight="false" outlineLevel="0" collapsed="false">
      <c r="A1273" s="72" t="n">
        <v>1269</v>
      </c>
      <c r="B1273" s="72" t="s">
        <v>2999</v>
      </c>
      <c r="C1273" s="72" t="s">
        <v>210</v>
      </c>
      <c r="D1273" s="72" t="s">
        <v>1945</v>
      </c>
      <c r="E1273" s="73" t="s">
        <v>617</v>
      </c>
      <c r="F1273" s="72" t="s">
        <v>2248</v>
      </c>
      <c r="G1273" s="74" t="n">
        <v>10704</v>
      </c>
      <c r="H1273" s="75" t="s">
        <v>3000</v>
      </c>
      <c r="I1273" s="72" t="s">
        <v>166</v>
      </c>
    </row>
    <row r="1274" customFormat="false" ht="15" hidden="false" customHeight="false" outlineLevel="0" collapsed="false">
      <c r="A1274" s="72" t="n">
        <v>1270</v>
      </c>
      <c r="B1274" s="72" t="s">
        <v>3001</v>
      </c>
      <c r="C1274" s="72" t="s">
        <v>210</v>
      </c>
      <c r="D1274" s="72" t="s">
        <v>1945</v>
      </c>
      <c r="E1274" s="73" t="s">
        <v>617</v>
      </c>
      <c r="F1274" s="72" t="s">
        <v>834</v>
      </c>
      <c r="G1274" s="74" t="n">
        <v>3690</v>
      </c>
      <c r="H1274" s="75" t="s">
        <v>3002</v>
      </c>
      <c r="I1274" s="72" t="s">
        <v>166</v>
      </c>
    </row>
    <row r="1275" customFormat="false" ht="15" hidden="false" customHeight="false" outlineLevel="0" collapsed="false">
      <c r="A1275" s="72" t="n">
        <v>1271</v>
      </c>
      <c r="B1275" s="72" t="s">
        <v>3003</v>
      </c>
      <c r="C1275" s="72" t="s">
        <v>210</v>
      </c>
      <c r="D1275" s="72" t="s">
        <v>1945</v>
      </c>
      <c r="E1275" s="73" t="s">
        <v>617</v>
      </c>
      <c r="F1275" s="72" t="s">
        <v>2248</v>
      </c>
      <c r="G1275" s="74" t="n">
        <v>13047</v>
      </c>
      <c r="H1275" s="75" t="s">
        <v>3004</v>
      </c>
      <c r="I1275" s="72" t="s">
        <v>166</v>
      </c>
    </row>
    <row r="1276" customFormat="false" ht="15" hidden="false" customHeight="false" outlineLevel="0" collapsed="false">
      <c r="A1276" s="72" t="n">
        <v>1272</v>
      </c>
      <c r="B1276" s="72" t="s">
        <v>3005</v>
      </c>
      <c r="C1276" s="72" t="s">
        <v>210</v>
      </c>
      <c r="D1276" s="72" t="s">
        <v>1945</v>
      </c>
      <c r="E1276" s="73" t="s">
        <v>617</v>
      </c>
      <c r="F1276" s="72" t="s">
        <v>834</v>
      </c>
      <c r="G1276" s="74" t="n">
        <v>346</v>
      </c>
      <c r="H1276" s="75" t="s">
        <v>3006</v>
      </c>
      <c r="I1276" s="72" t="s">
        <v>166</v>
      </c>
    </row>
    <row r="1277" customFormat="false" ht="15" hidden="false" customHeight="false" outlineLevel="0" collapsed="false">
      <c r="A1277" s="72" t="n">
        <v>1273</v>
      </c>
      <c r="B1277" s="72" t="s">
        <v>3007</v>
      </c>
      <c r="C1277" s="72" t="s">
        <v>210</v>
      </c>
      <c r="D1277" s="72" t="s">
        <v>1945</v>
      </c>
      <c r="E1277" s="73" t="s">
        <v>617</v>
      </c>
      <c r="F1277" s="72" t="s">
        <v>834</v>
      </c>
      <c r="G1277" s="74" t="n">
        <v>2247</v>
      </c>
      <c r="H1277" s="75" t="s">
        <v>3008</v>
      </c>
      <c r="I1277" s="72" t="s">
        <v>166</v>
      </c>
    </row>
    <row r="1278" customFormat="false" ht="15" hidden="false" customHeight="false" outlineLevel="0" collapsed="false">
      <c r="A1278" s="72" t="n">
        <v>1274</v>
      </c>
      <c r="B1278" s="72" t="s">
        <v>3009</v>
      </c>
      <c r="C1278" s="72" t="s">
        <v>210</v>
      </c>
      <c r="D1278" s="72" t="s">
        <v>1945</v>
      </c>
      <c r="E1278" s="73" t="s">
        <v>617</v>
      </c>
      <c r="F1278" s="72" t="s">
        <v>2248</v>
      </c>
      <c r="G1278" s="74" t="n">
        <v>1992</v>
      </c>
      <c r="H1278" s="75" t="s">
        <v>3010</v>
      </c>
      <c r="I1278" s="72" t="s">
        <v>166</v>
      </c>
    </row>
    <row r="1279" customFormat="false" ht="15" hidden="false" customHeight="false" outlineLevel="0" collapsed="false">
      <c r="A1279" s="72" t="n">
        <v>1275</v>
      </c>
      <c r="B1279" s="72" t="s">
        <v>3011</v>
      </c>
      <c r="C1279" s="72" t="s">
        <v>210</v>
      </c>
      <c r="D1279" s="72" t="s">
        <v>1945</v>
      </c>
      <c r="E1279" s="73" t="s">
        <v>617</v>
      </c>
      <c r="F1279" s="72" t="s">
        <v>2248</v>
      </c>
      <c r="G1279" s="74" t="n">
        <v>3768</v>
      </c>
      <c r="H1279" s="75" t="s">
        <v>3012</v>
      </c>
      <c r="I1279" s="72" t="s">
        <v>166</v>
      </c>
    </row>
    <row r="1280" customFormat="false" ht="15" hidden="false" customHeight="false" outlineLevel="0" collapsed="false">
      <c r="A1280" s="72" t="n">
        <v>1276</v>
      </c>
      <c r="B1280" s="72" t="s">
        <v>3013</v>
      </c>
      <c r="C1280" s="72" t="s">
        <v>210</v>
      </c>
      <c r="D1280" s="72" t="s">
        <v>1945</v>
      </c>
      <c r="E1280" s="73" t="s">
        <v>617</v>
      </c>
      <c r="F1280" s="72" t="s">
        <v>834</v>
      </c>
      <c r="G1280" s="74" t="n">
        <v>46</v>
      </c>
      <c r="H1280" s="75" t="s">
        <v>3014</v>
      </c>
      <c r="I1280" s="72" t="s">
        <v>166</v>
      </c>
    </row>
    <row r="1281" customFormat="false" ht="15" hidden="false" customHeight="false" outlineLevel="0" collapsed="false">
      <c r="A1281" s="72" t="n">
        <v>1277</v>
      </c>
      <c r="B1281" s="72" t="s">
        <v>3015</v>
      </c>
      <c r="C1281" s="72" t="s">
        <v>210</v>
      </c>
      <c r="D1281" s="72" t="s">
        <v>1945</v>
      </c>
      <c r="E1281" s="73" t="s">
        <v>617</v>
      </c>
      <c r="F1281" s="72" t="s">
        <v>834</v>
      </c>
      <c r="G1281" s="74" t="n">
        <v>1459</v>
      </c>
      <c r="H1281" s="75" t="s">
        <v>3016</v>
      </c>
      <c r="I1281" s="72" t="s">
        <v>166</v>
      </c>
    </row>
    <row r="1282" customFormat="false" ht="15" hidden="false" customHeight="false" outlineLevel="0" collapsed="false">
      <c r="A1282" s="72" t="n">
        <v>1278</v>
      </c>
      <c r="B1282" s="72" t="s">
        <v>3017</v>
      </c>
      <c r="C1282" s="72" t="s">
        <v>213</v>
      </c>
      <c r="D1282" s="72" t="s">
        <v>1970</v>
      </c>
      <c r="E1282" s="73" t="s">
        <v>617</v>
      </c>
      <c r="F1282" s="72" t="s">
        <v>2248</v>
      </c>
      <c r="G1282" s="74" t="n">
        <v>1089</v>
      </c>
      <c r="H1282" s="75" t="s">
        <v>3018</v>
      </c>
      <c r="I1282" s="72" t="s">
        <v>166</v>
      </c>
    </row>
    <row r="1283" customFormat="false" ht="15" hidden="false" customHeight="false" outlineLevel="0" collapsed="false">
      <c r="A1283" s="72" t="n">
        <v>1279</v>
      </c>
      <c r="B1283" s="72" t="s">
        <v>3019</v>
      </c>
      <c r="C1283" s="72" t="s">
        <v>213</v>
      </c>
      <c r="D1283" s="72" t="s">
        <v>1970</v>
      </c>
      <c r="E1283" s="73" t="s">
        <v>617</v>
      </c>
      <c r="F1283" s="72" t="s">
        <v>2248</v>
      </c>
      <c r="G1283" s="74" t="n">
        <v>3769</v>
      </c>
      <c r="H1283" s="75" t="s">
        <v>3020</v>
      </c>
      <c r="I1283" s="72" t="s">
        <v>166</v>
      </c>
    </row>
    <row r="1284" customFormat="false" ht="15" hidden="false" customHeight="false" outlineLevel="0" collapsed="false">
      <c r="A1284" s="72" t="n">
        <v>1280</v>
      </c>
      <c r="B1284" s="72" t="s">
        <v>3021</v>
      </c>
      <c r="C1284" s="72" t="s">
        <v>213</v>
      </c>
      <c r="D1284" s="72" t="s">
        <v>1970</v>
      </c>
      <c r="E1284" s="73" t="s">
        <v>617</v>
      </c>
      <c r="F1284" s="72" t="s">
        <v>2248</v>
      </c>
      <c r="G1284" s="74" t="n">
        <v>1543</v>
      </c>
      <c r="H1284" s="75" t="s">
        <v>3022</v>
      </c>
      <c r="I1284" s="72" t="s">
        <v>166</v>
      </c>
    </row>
    <row r="1285" customFormat="false" ht="15" hidden="false" customHeight="false" outlineLevel="0" collapsed="false">
      <c r="A1285" s="72" t="n">
        <v>1281</v>
      </c>
      <c r="B1285" s="72" t="s">
        <v>3023</v>
      </c>
      <c r="C1285" s="72" t="s">
        <v>213</v>
      </c>
      <c r="D1285" s="72" t="s">
        <v>1970</v>
      </c>
      <c r="E1285" s="73" t="s">
        <v>617</v>
      </c>
      <c r="F1285" s="72" t="s">
        <v>2248</v>
      </c>
      <c r="G1285" s="74" t="n">
        <v>2697</v>
      </c>
      <c r="H1285" s="75" t="s">
        <v>3024</v>
      </c>
      <c r="I1285" s="72" t="s">
        <v>166</v>
      </c>
    </row>
    <row r="1286" customFormat="false" ht="15" hidden="false" customHeight="false" outlineLevel="0" collapsed="false">
      <c r="A1286" s="72" t="n">
        <v>1282</v>
      </c>
      <c r="B1286" s="72" t="s">
        <v>3025</v>
      </c>
      <c r="C1286" s="72" t="s">
        <v>213</v>
      </c>
      <c r="D1286" s="72" t="s">
        <v>1970</v>
      </c>
      <c r="E1286" s="73" t="s">
        <v>617</v>
      </c>
      <c r="F1286" s="72" t="s">
        <v>2248</v>
      </c>
      <c r="G1286" s="74" t="n">
        <v>2667</v>
      </c>
      <c r="H1286" s="75" t="s">
        <v>3026</v>
      </c>
      <c r="I1286" s="72" t="s">
        <v>166</v>
      </c>
    </row>
    <row r="1287" customFormat="false" ht="15" hidden="false" customHeight="false" outlineLevel="0" collapsed="false">
      <c r="A1287" s="72" t="n">
        <v>1283</v>
      </c>
      <c r="B1287" s="72" t="s">
        <v>3027</v>
      </c>
      <c r="C1287" s="72" t="s">
        <v>213</v>
      </c>
      <c r="D1287" s="72" t="s">
        <v>1970</v>
      </c>
      <c r="E1287" s="73" t="s">
        <v>617</v>
      </c>
      <c r="F1287" s="72" t="s">
        <v>2248</v>
      </c>
      <c r="G1287" s="74" t="n">
        <v>5152</v>
      </c>
      <c r="H1287" s="75" t="s">
        <v>3028</v>
      </c>
      <c r="I1287" s="72" t="s">
        <v>166</v>
      </c>
    </row>
    <row r="1288" customFormat="false" ht="15" hidden="false" customHeight="false" outlineLevel="0" collapsed="false">
      <c r="A1288" s="72" t="n">
        <v>1284</v>
      </c>
      <c r="B1288" s="72" t="s">
        <v>3029</v>
      </c>
      <c r="C1288" s="72" t="s">
        <v>213</v>
      </c>
      <c r="D1288" s="72" t="s">
        <v>1970</v>
      </c>
      <c r="E1288" s="73" t="s">
        <v>617</v>
      </c>
      <c r="F1288" s="72" t="s">
        <v>2248</v>
      </c>
      <c r="G1288" s="74" t="n">
        <v>877</v>
      </c>
      <c r="H1288" s="75" t="s">
        <v>3030</v>
      </c>
      <c r="I1288" s="72" t="s">
        <v>166</v>
      </c>
    </row>
    <row r="1289" customFormat="false" ht="15" hidden="false" customHeight="false" outlineLevel="0" collapsed="false">
      <c r="A1289" s="72" t="n">
        <v>1285</v>
      </c>
      <c r="B1289" s="72" t="s">
        <v>3031</v>
      </c>
      <c r="C1289" s="72" t="s">
        <v>213</v>
      </c>
      <c r="D1289" s="72" t="s">
        <v>1970</v>
      </c>
      <c r="E1289" s="73" t="s">
        <v>617</v>
      </c>
      <c r="F1289" s="72" t="s">
        <v>2248</v>
      </c>
      <c r="G1289" s="74" t="n">
        <v>1976</v>
      </c>
      <c r="H1289" s="75" t="s">
        <v>3032</v>
      </c>
      <c r="I1289" s="72" t="s">
        <v>166</v>
      </c>
    </row>
    <row r="1290" customFormat="false" ht="15" hidden="false" customHeight="false" outlineLevel="0" collapsed="false">
      <c r="A1290" s="72" t="n">
        <v>1286</v>
      </c>
      <c r="B1290" s="72" t="s">
        <v>3033</v>
      </c>
      <c r="C1290" s="72" t="s">
        <v>213</v>
      </c>
      <c r="D1290" s="72" t="s">
        <v>1970</v>
      </c>
      <c r="E1290" s="73" t="s">
        <v>617</v>
      </c>
      <c r="F1290" s="72" t="s">
        <v>2248</v>
      </c>
      <c r="G1290" s="74" t="n">
        <v>1368</v>
      </c>
      <c r="H1290" s="75" t="s">
        <v>3034</v>
      </c>
      <c r="I1290" s="72" t="s">
        <v>166</v>
      </c>
    </row>
    <row r="1291" customFormat="false" ht="15" hidden="false" customHeight="false" outlineLevel="0" collapsed="false">
      <c r="A1291" s="72" t="n">
        <v>1287</v>
      </c>
      <c r="B1291" s="72" t="s">
        <v>3035</v>
      </c>
      <c r="C1291" s="72" t="s">
        <v>213</v>
      </c>
      <c r="D1291" s="72" t="s">
        <v>1970</v>
      </c>
      <c r="E1291" s="73" t="s">
        <v>617</v>
      </c>
      <c r="F1291" s="72" t="s">
        <v>2248</v>
      </c>
      <c r="G1291" s="74" t="n">
        <v>729</v>
      </c>
      <c r="H1291" s="75" t="s">
        <v>3036</v>
      </c>
      <c r="I1291" s="72" t="s">
        <v>166</v>
      </c>
    </row>
    <row r="1292" customFormat="false" ht="15" hidden="false" customHeight="false" outlineLevel="0" collapsed="false">
      <c r="A1292" s="72" t="n">
        <v>1288</v>
      </c>
      <c r="B1292" s="72" t="s">
        <v>3037</v>
      </c>
      <c r="C1292" s="72" t="s">
        <v>213</v>
      </c>
      <c r="D1292" s="72" t="s">
        <v>1970</v>
      </c>
      <c r="E1292" s="73" t="s">
        <v>617</v>
      </c>
      <c r="F1292" s="72" t="s">
        <v>2248</v>
      </c>
      <c r="G1292" s="74" t="n">
        <v>1002</v>
      </c>
      <c r="H1292" s="75" t="s">
        <v>3038</v>
      </c>
      <c r="I1292" s="72" t="s">
        <v>166</v>
      </c>
    </row>
    <row r="1293" customFormat="false" ht="15" hidden="false" customHeight="false" outlineLevel="0" collapsed="false">
      <c r="A1293" s="72" t="n">
        <v>1289</v>
      </c>
      <c r="B1293" s="72" t="s">
        <v>3039</v>
      </c>
      <c r="C1293" s="72" t="s">
        <v>213</v>
      </c>
      <c r="D1293" s="72" t="s">
        <v>1970</v>
      </c>
      <c r="E1293" s="73" t="s">
        <v>617</v>
      </c>
      <c r="F1293" s="72" t="s">
        <v>2248</v>
      </c>
      <c r="G1293" s="74" t="n">
        <v>3126</v>
      </c>
      <c r="H1293" s="75" t="s">
        <v>3040</v>
      </c>
      <c r="I1293" s="72" t="s">
        <v>166</v>
      </c>
    </row>
    <row r="1294" customFormat="false" ht="15" hidden="false" customHeight="false" outlineLevel="0" collapsed="false">
      <c r="A1294" s="72" t="n">
        <v>1290</v>
      </c>
      <c r="B1294" s="72" t="s">
        <v>3041</v>
      </c>
      <c r="C1294" s="72" t="s">
        <v>213</v>
      </c>
      <c r="D1294" s="72" t="s">
        <v>1970</v>
      </c>
      <c r="E1294" s="73" t="s">
        <v>617</v>
      </c>
      <c r="F1294" s="72" t="s">
        <v>2248</v>
      </c>
      <c r="G1294" s="74" t="n">
        <v>1317</v>
      </c>
      <c r="H1294" s="75" t="s">
        <v>3042</v>
      </c>
      <c r="I1294" s="72" t="s">
        <v>166</v>
      </c>
    </row>
    <row r="1295" customFormat="false" ht="15" hidden="false" customHeight="false" outlineLevel="0" collapsed="false">
      <c r="A1295" s="72" t="n">
        <v>1291</v>
      </c>
      <c r="B1295" s="72" t="s">
        <v>3043</v>
      </c>
      <c r="C1295" s="72" t="s">
        <v>213</v>
      </c>
      <c r="D1295" s="72" t="s">
        <v>1970</v>
      </c>
      <c r="E1295" s="73" t="s">
        <v>617</v>
      </c>
      <c r="F1295" s="72" t="s">
        <v>2248</v>
      </c>
      <c r="G1295" s="74" t="n">
        <v>4151</v>
      </c>
      <c r="H1295" s="75" t="s">
        <v>3044</v>
      </c>
      <c r="I1295" s="72" t="s">
        <v>166</v>
      </c>
    </row>
    <row r="1296" customFormat="false" ht="15" hidden="false" customHeight="false" outlineLevel="0" collapsed="false">
      <c r="A1296" s="72" t="n">
        <v>1292</v>
      </c>
      <c r="B1296" s="72" t="s">
        <v>3045</v>
      </c>
      <c r="C1296" s="72" t="s">
        <v>213</v>
      </c>
      <c r="D1296" s="72" t="s">
        <v>1970</v>
      </c>
      <c r="E1296" s="73" t="s">
        <v>617</v>
      </c>
      <c r="F1296" s="72" t="s">
        <v>2248</v>
      </c>
      <c r="G1296" s="74" t="n">
        <v>2823</v>
      </c>
      <c r="H1296" s="75" t="s">
        <v>3046</v>
      </c>
      <c r="I1296" s="72" t="s">
        <v>166</v>
      </c>
    </row>
    <row r="1297" customFormat="false" ht="15" hidden="false" customHeight="false" outlineLevel="0" collapsed="false">
      <c r="A1297" s="72" t="n">
        <v>1293</v>
      </c>
      <c r="B1297" s="72" t="s">
        <v>3047</v>
      </c>
      <c r="C1297" s="72" t="s">
        <v>213</v>
      </c>
      <c r="D1297" s="72" t="s">
        <v>1970</v>
      </c>
      <c r="E1297" s="73" t="s">
        <v>617</v>
      </c>
      <c r="F1297" s="72" t="s">
        <v>2248</v>
      </c>
      <c r="G1297" s="74" t="n">
        <v>3582</v>
      </c>
      <c r="H1297" s="75" t="s">
        <v>3048</v>
      </c>
      <c r="I1297" s="72" t="s">
        <v>166</v>
      </c>
    </row>
    <row r="1298" customFormat="false" ht="15" hidden="false" customHeight="false" outlineLevel="0" collapsed="false">
      <c r="A1298" s="72" t="n">
        <v>1294</v>
      </c>
      <c r="B1298" s="72" t="s">
        <v>3049</v>
      </c>
      <c r="C1298" s="72" t="s">
        <v>213</v>
      </c>
      <c r="D1298" s="72" t="s">
        <v>1970</v>
      </c>
      <c r="E1298" s="73" t="s">
        <v>617</v>
      </c>
      <c r="F1298" s="72" t="s">
        <v>2248</v>
      </c>
      <c r="G1298" s="74" t="n">
        <v>4058</v>
      </c>
      <c r="H1298" s="75" t="s">
        <v>3050</v>
      </c>
      <c r="I1298" s="72" t="s">
        <v>166</v>
      </c>
    </row>
    <row r="1299" customFormat="false" ht="15" hidden="false" customHeight="false" outlineLevel="0" collapsed="false">
      <c r="A1299" s="72" t="n">
        <v>1295</v>
      </c>
      <c r="B1299" s="72" t="s">
        <v>3051</v>
      </c>
      <c r="C1299" s="72" t="s">
        <v>213</v>
      </c>
      <c r="D1299" s="72" t="s">
        <v>1970</v>
      </c>
      <c r="E1299" s="73" t="s">
        <v>617</v>
      </c>
      <c r="F1299" s="72" t="s">
        <v>2248</v>
      </c>
      <c r="G1299" s="74" t="n">
        <v>5055</v>
      </c>
      <c r="H1299" s="75" t="s">
        <v>3052</v>
      </c>
      <c r="I1299" s="72" t="s">
        <v>166</v>
      </c>
    </row>
    <row r="1300" customFormat="false" ht="15" hidden="false" customHeight="false" outlineLevel="0" collapsed="false">
      <c r="A1300" s="72" t="n">
        <v>1296</v>
      </c>
      <c r="B1300" s="72" t="s">
        <v>3053</v>
      </c>
      <c r="C1300" s="72" t="s">
        <v>213</v>
      </c>
      <c r="D1300" s="72" t="s">
        <v>1970</v>
      </c>
      <c r="E1300" s="73" t="s">
        <v>617</v>
      </c>
      <c r="F1300" s="72" t="s">
        <v>2248</v>
      </c>
      <c r="G1300" s="74" t="n">
        <v>2351</v>
      </c>
      <c r="H1300" s="75" t="s">
        <v>3054</v>
      </c>
      <c r="I1300" s="72" t="s">
        <v>166</v>
      </c>
    </row>
    <row r="1301" customFormat="false" ht="15" hidden="false" customHeight="false" outlineLevel="0" collapsed="false">
      <c r="A1301" s="72" t="n">
        <v>1297</v>
      </c>
      <c r="B1301" s="72" t="s">
        <v>3055</v>
      </c>
      <c r="C1301" s="72" t="s">
        <v>213</v>
      </c>
      <c r="D1301" s="72" t="s">
        <v>1970</v>
      </c>
      <c r="E1301" s="73" t="s">
        <v>617</v>
      </c>
      <c r="F1301" s="72" t="s">
        <v>2248</v>
      </c>
      <c r="G1301" s="74" t="n">
        <v>1409</v>
      </c>
      <c r="H1301" s="75" t="s">
        <v>3056</v>
      </c>
      <c r="I1301" s="72" t="s">
        <v>166</v>
      </c>
    </row>
    <row r="1302" customFormat="false" ht="15" hidden="false" customHeight="false" outlineLevel="0" collapsed="false">
      <c r="A1302" s="72" t="n">
        <v>1298</v>
      </c>
      <c r="B1302" s="72" t="s">
        <v>3057</v>
      </c>
      <c r="C1302" s="72" t="s">
        <v>213</v>
      </c>
      <c r="D1302" s="72" t="s">
        <v>1970</v>
      </c>
      <c r="E1302" s="73" t="s">
        <v>617</v>
      </c>
      <c r="F1302" s="72" t="s">
        <v>2248</v>
      </c>
      <c r="G1302" s="74" t="n">
        <v>3760</v>
      </c>
      <c r="H1302" s="75" t="s">
        <v>3058</v>
      </c>
      <c r="I1302" s="72" t="s">
        <v>166</v>
      </c>
    </row>
    <row r="1303" customFormat="false" ht="15" hidden="false" customHeight="false" outlineLevel="0" collapsed="false">
      <c r="A1303" s="72" t="n">
        <v>1299</v>
      </c>
      <c r="B1303" s="72" t="s">
        <v>3059</v>
      </c>
      <c r="C1303" s="72" t="s">
        <v>213</v>
      </c>
      <c r="D1303" s="72" t="s">
        <v>1970</v>
      </c>
      <c r="E1303" s="73" t="s">
        <v>617</v>
      </c>
      <c r="F1303" s="72" t="s">
        <v>2248</v>
      </c>
      <c r="G1303" s="74" t="n">
        <v>1265</v>
      </c>
      <c r="H1303" s="75" t="s">
        <v>3060</v>
      </c>
      <c r="I1303" s="72" t="s">
        <v>166</v>
      </c>
    </row>
    <row r="1304" customFormat="false" ht="15" hidden="false" customHeight="false" outlineLevel="0" collapsed="false">
      <c r="A1304" s="72" t="n">
        <v>1300</v>
      </c>
      <c r="B1304" s="72" t="s">
        <v>3061</v>
      </c>
      <c r="C1304" s="72" t="s">
        <v>213</v>
      </c>
      <c r="D1304" s="72" t="s">
        <v>1970</v>
      </c>
      <c r="E1304" s="73" t="s">
        <v>617</v>
      </c>
      <c r="F1304" s="72" t="s">
        <v>834</v>
      </c>
      <c r="G1304" s="74" t="n">
        <v>46</v>
      </c>
      <c r="H1304" s="75" t="s">
        <v>3062</v>
      </c>
      <c r="I1304" s="72" t="s">
        <v>166</v>
      </c>
    </row>
    <row r="1305" customFormat="false" ht="15" hidden="false" customHeight="false" outlineLevel="0" collapsed="false">
      <c r="A1305" s="72" t="n">
        <v>1301</v>
      </c>
      <c r="B1305" s="72" t="s">
        <v>3063</v>
      </c>
      <c r="C1305" s="72" t="s">
        <v>213</v>
      </c>
      <c r="D1305" s="72" t="s">
        <v>1970</v>
      </c>
      <c r="E1305" s="73" t="s">
        <v>617</v>
      </c>
      <c r="F1305" s="72" t="s">
        <v>834</v>
      </c>
      <c r="G1305" s="74" t="n">
        <v>584</v>
      </c>
      <c r="H1305" s="75" t="s">
        <v>3064</v>
      </c>
      <c r="I1305" s="72" t="s">
        <v>166</v>
      </c>
    </row>
    <row r="1306" customFormat="false" ht="15" hidden="false" customHeight="false" outlineLevel="0" collapsed="false">
      <c r="A1306" s="72" t="n">
        <v>1302</v>
      </c>
      <c r="B1306" s="72" t="s">
        <v>3065</v>
      </c>
      <c r="C1306" s="72" t="s">
        <v>168</v>
      </c>
      <c r="D1306" s="73" t="s">
        <v>2672</v>
      </c>
      <c r="E1306" s="73" t="s">
        <v>617</v>
      </c>
      <c r="F1306" s="72" t="s">
        <v>834</v>
      </c>
      <c r="G1306" s="74" t="n">
        <v>1546</v>
      </c>
      <c r="H1306" s="75" t="s">
        <v>3066</v>
      </c>
      <c r="I1306" s="72" t="s">
        <v>166</v>
      </c>
    </row>
    <row r="1307" customFormat="false" ht="15" hidden="false" customHeight="false" outlineLevel="0" collapsed="false">
      <c r="A1307" s="72" t="n">
        <v>1303</v>
      </c>
      <c r="B1307" s="72" t="s">
        <v>3067</v>
      </c>
      <c r="C1307" s="72" t="s">
        <v>168</v>
      </c>
      <c r="D1307" s="73" t="s">
        <v>2672</v>
      </c>
      <c r="E1307" s="73" t="s">
        <v>617</v>
      </c>
      <c r="F1307" s="72" t="s">
        <v>2248</v>
      </c>
      <c r="G1307" s="74" t="n">
        <v>1909</v>
      </c>
      <c r="H1307" s="75" t="s">
        <v>3068</v>
      </c>
      <c r="I1307" s="72" t="s">
        <v>166</v>
      </c>
    </row>
    <row r="1308" customFormat="false" ht="15" hidden="false" customHeight="false" outlineLevel="0" collapsed="false">
      <c r="A1308" s="72" t="n">
        <v>1304</v>
      </c>
      <c r="B1308" s="72" t="s">
        <v>3069</v>
      </c>
      <c r="C1308" s="72" t="s">
        <v>168</v>
      </c>
      <c r="D1308" s="73" t="s">
        <v>2672</v>
      </c>
      <c r="E1308" s="73" t="s">
        <v>617</v>
      </c>
      <c r="F1308" s="72" t="s">
        <v>2248</v>
      </c>
      <c r="G1308" s="74" t="n">
        <v>1946</v>
      </c>
      <c r="H1308" s="75" t="s">
        <v>3070</v>
      </c>
      <c r="I1308" s="72" t="s">
        <v>166</v>
      </c>
    </row>
    <row r="1309" customFormat="false" ht="15" hidden="false" customHeight="false" outlineLevel="0" collapsed="false">
      <c r="A1309" s="72" t="n">
        <v>1305</v>
      </c>
      <c r="B1309" s="72" t="s">
        <v>3071</v>
      </c>
      <c r="C1309" s="72" t="s">
        <v>168</v>
      </c>
      <c r="D1309" s="73" t="s">
        <v>2672</v>
      </c>
      <c r="E1309" s="73" t="s">
        <v>617</v>
      </c>
      <c r="F1309" s="72" t="s">
        <v>2248</v>
      </c>
      <c r="G1309" s="74" t="n">
        <v>11180</v>
      </c>
      <c r="H1309" s="75" t="s">
        <v>3072</v>
      </c>
      <c r="I1309" s="72" t="s">
        <v>166</v>
      </c>
    </row>
    <row r="1310" customFormat="false" ht="15" hidden="false" customHeight="false" outlineLevel="0" collapsed="false">
      <c r="A1310" s="72" t="n">
        <v>1306</v>
      </c>
      <c r="B1310" s="72" t="s">
        <v>3073</v>
      </c>
      <c r="C1310" s="72" t="s">
        <v>168</v>
      </c>
      <c r="D1310" s="73" t="s">
        <v>2672</v>
      </c>
      <c r="E1310" s="73" t="s">
        <v>617</v>
      </c>
      <c r="F1310" s="72" t="s">
        <v>2248</v>
      </c>
      <c r="G1310" s="74" t="n">
        <v>10678</v>
      </c>
      <c r="H1310" s="75" t="s">
        <v>3074</v>
      </c>
      <c r="I1310" s="72" t="s">
        <v>166</v>
      </c>
    </row>
    <row r="1311" customFormat="false" ht="15" hidden="false" customHeight="false" outlineLevel="0" collapsed="false">
      <c r="A1311" s="72" t="n">
        <v>1307</v>
      </c>
      <c r="B1311" s="72" t="s">
        <v>3075</v>
      </c>
      <c r="C1311" s="72" t="s">
        <v>168</v>
      </c>
      <c r="D1311" s="73" t="s">
        <v>2672</v>
      </c>
      <c r="E1311" s="73" t="s">
        <v>866</v>
      </c>
      <c r="F1311" s="72" t="s">
        <v>867</v>
      </c>
      <c r="G1311" s="74" t="n">
        <v>6489</v>
      </c>
      <c r="H1311" s="75" t="s">
        <v>3076</v>
      </c>
      <c r="I1311" s="72" t="s">
        <v>166</v>
      </c>
    </row>
    <row r="1312" customFormat="false" ht="15" hidden="false" customHeight="false" outlineLevel="0" collapsed="false">
      <c r="A1312" s="72" t="n">
        <v>1308</v>
      </c>
      <c r="B1312" s="72" t="s">
        <v>3077</v>
      </c>
      <c r="C1312" s="72" t="s">
        <v>168</v>
      </c>
      <c r="D1312" s="73" t="s">
        <v>2672</v>
      </c>
      <c r="E1312" s="73" t="s">
        <v>617</v>
      </c>
      <c r="F1312" s="72" t="s">
        <v>834</v>
      </c>
      <c r="G1312" s="74" t="n">
        <v>1267</v>
      </c>
      <c r="H1312" s="75" t="s">
        <v>3078</v>
      </c>
      <c r="I1312" s="72" t="s">
        <v>166</v>
      </c>
    </row>
    <row r="1313" customFormat="false" ht="15" hidden="false" customHeight="false" outlineLevel="0" collapsed="false">
      <c r="A1313" s="72" t="n">
        <v>1309</v>
      </c>
      <c r="B1313" s="72" t="s">
        <v>3079</v>
      </c>
      <c r="C1313" s="72" t="s">
        <v>163</v>
      </c>
      <c r="D1313" s="73" t="s">
        <v>2247</v>
      </c>
      <c r="E1313" s="73" t="s">
        <v>617</v>
      </c>
      <c r="F1313" s="72" t="s">
        <v>2248</v>
      </c>
      <c r="G1313" s="74" t="n">
        <v>18419</v>
      </c>
      <c r="H1313" s="75" t="s">
        <v>3080</v>
      </c>
      <c r="I1313" s="72" t="s">
        <v>166</v>
      </c>
    </row>
    <row r="1314" customFormat="false" ht="15" hidden="false" customHeight="false" outlineLevel="0" collapsed="false">
      <c r="A1314" s="72" t="n">
        <v>1310</v>
      </c>
      <c r="B1314" s="72" t="s">
        <v>3081</v>
      </c>
      <c r="C1314" s="72" t="s">
        <v>177</v>
      </c>
      <c r="D1314" s="73" t="s">
        <v>2605</v>
      </c>
      <c r="E1314" s="73" t="s">
        <v>617</v>
      </c>
      <c r="F1314" s="72" t="s">
        <v>834</v>
      </c>
      <c r="G1314" s="74" t="n">
        <v>2844</v>
      </c>
      <c r="H1314" s="75" t="s">
        <v>3082</v>
      </c>
      <c r="I1314" s="72" t="s">
        <v>166</v>
      </c>
    </row>
    <row r="1315" customFormat="false" ht="15" hidden="false" customHeight="false" outlineLevel="0" collapsed="false">
      <c r="A1315" s="72" t="n">
        <v>1311</v>
      </c>
      <c r="B1315" s="72" t="s">
        <v>3083</v>
      </c>
      <c r="C1315" s="72" t="s">
        <v>204</v>
      </c>
      <c r="D1315" s="72" t="s">
        <v>1871</v>
      </c>
      <c r="E1315" s="73" t="s">
        <v>617</v>
      </c>
      <c r="F1315" s="72" t="s">
        <v>834</v>
      </c>
      <c r="G1315" s="74" t="n">
        <v>3031</v>
      </c>
      <c r="H1315" s="75" t="s">
        <v>3084</v>
      </c>
      <c r="I1315" s="72" t="s">
        <v>166</v>
      </c>
    </row>
    <row r="1316" customFormat="false" ht="15" hidden="false" customHeight="false" outlineLevel="0" collapsed="false">
      <c r="A1316" s="72" t="n">
        <v>1312</v>
      </c>
      <c r="B1316" s="72" t="s">
        <v>3085</v>
      </c>
      <c r="C1316" s="72" t="s">
        <v>204</v>
      </c>
      <c r="D1316" s="72" t="s">
        <v>1871</v>
      </c>
      <c r="E1316" s="73" t="s">
        <v>617</v>
      </c>
      <c r="F1316" s="72" t="s">
        <v>834</v>
      </c>
      <c r="G1316" s="74" t="n">
        <v>64614</v>
      </c>
      <c r="H1316" s="75" t="s">
        <v>3086</v>
      </c>
      <c r="I1316" s="72" t="s">
        <v>166</v>
      </c>
    </row>
    <row r="1317" customFormat="false" ht="15" hidden="false" customHeight="false" outlineLevel="0" collapsed="false">
      <c r="A1317" s="72" t="n">
        <v>1313</v>
      </c>
      <c r="B1317" s="72" t="s">
        <v>3087</v>
      </c>
      <c r="C1317" s="72" t="s">
        <v>204</v>
      </c>
      <c r="D1317" s="72" t="s">
        <v>1871</v>
      </c>
      <c r="E1317" s="73" t="s">
        <v>617</v>
      </c>
      <c r="F1317" s="72" t="s">
        <v>834</v>
      </c>
      <c r="G1317" s="74" t="n">
        <v>71757</v>
      </c>
      <c r="H1317" s="75" t="s">
        <v>3088</v>
      </c>
      <c r="I1317" s="72" t="s">
        <v>166</v>
      </c>
    </row>
    <row r="1318" customFormat="false" ht="15" hidden="false" customHeight="false" outlineLevel="0" collapsed="false">
      <c r="A1318" s="72" t="n">
        <v>1314</v>
      </c>
      <c r="B1318" s="72" t="s">
        <v>3089</v>
      </c>
      <c r="C1318" s="72" t="s">
        <v>210</v>
      </c>
      <c r="D1318" s="72" t="s">
        <v>1945</v>
      </c>
      <c r="E1318" s="73" t="s">
        <v>617</v>
      </c>
      <c r="F1318" s="72" t="s">
        <v>834</v>
      </c>
      <c r="G1318" s="74" t="n">
        <v>2491</v>
      </c>
      <c r="H1318" s="75" t="s">
        <v>3090</v>
      </c>
      <c r="I1318" s="72" t="s">
        <v>166</v>
      </c>
    </row>
    <row r="1319" customFormat="false" ht="15" hidden="false" customHeight="false" outlineLevel="0" collapsed="false">
      <c r="A1319" s="72" t="n">
        <v>1315</v>
      </c>
      <c r="B1319" s="72" t="s">
        <v>3091</v>
      </c>
      <c r="C1319" s="72" t="s">
        <v>210</v>
      </c>
      <c r="D1319" s="72" t="s">
        <v>1945</v>
      </c>
      <c r="E1319" s="73" t="s">
        <v>617</v>
      </c>
      <c r="F1319" s="72" t="s">
        <v>834</v>
      </c>
      <c r="G1319" s="74" t="n">
        <v>64647</v>
      </c>
      <c r="H1319" s="75" t="s">
        <v>3092</v>
      </c>
      <c r="I1319" s="72" t="s">
        <v>166</v>
      </c>
    </row>
    <row r="1320" customFormat="false" ht="15" hidden="false" customHeight="false" outlineLevel="0" collapsed="false">
      <c r="A1320" s="72" t="n">
        <v>1316</v>
      </c>
      <c r="B1320" s="72" t="s">
        <v>3093</v>
      </c>
      <c r="C1320" s="72" t="s">
        <v>210</v>
      </c>
      <c r="D1320" s="72" t="s">
        <v>1945</v>
      </c>
      <c r="E1320" s="73" t="s">
        <v>617</v>
      </c>
      <c r="F1320" s="72" t="s">
        <v>834</v>
      </c>
      <c r="G1320" s="74" t="n">
        <v>74604</v>
      </c>
      <c r="H1320" s="75" t="s">
        <v>3094</v>
      </c>
      <c r="I1320" s="72" t="s">
        <v>166</v>
      </c>
    </row>
    <row r="1321" customFormat="false" ht="15" hidden="false" customHeight="false" outlineLevel="0" collapsed="false">
      <c r="A1321" s="72" t="n">
        <v>1317</v>
      </c>
      <c r="B1321" s="72" t="s">
        <v>3095</v>
      </c>
      <c r="C1321" s="72" t="s">
        <v>213</v>
      </c>
      <c r="D1321" s="72" t="s">
        <v>1970</v>
      </c>
      <c r="E1321" s="73" t="s">
        <v>617</v>
      </c>
      <c r="F1321" s="72" t="s">
        <v>834</v>
      </c>
      <c r="G1321" s="74" t="n">
        <v>2933</v>
      </c>
      <c r="H1321" s="75" t="s">
        <v>3096</v>
      </c>
      <c r="I1321" s="72" t="s">
        <v>166</v>
      </c>
    </row>
    <row r="1322" customFormat="false" ht="15" hidden="false" customHeight="false" outlineLevel="0" collapsed="false">
      <c r="A1322" s="72" t="n">
        <v>1318</v>
      </c>
      <c r="B1322" s="72" t="s">
        <v>3097</v>
      </c>
      <c r="C1322" s="72" t="s">
        <v>213</v>
      </c>
      <c r="D1322" s="72" t="s">
        <v>1970</v>
      </c>
      <c r="E1322" s="73" t="s">
        <v>617</v>
      </c>
      <c r="F1322" s="72" t="s">
        <v>834</v>
      </c>
      <c r="G1322" s="74" t="n">
        <v>27111</v>
      </c>
      <c r="H1322" s="75" t="s">
        <v>3098</v>
      </c>
      <c r="I1322" s="72" t="s">
        <v>166</v>
      </c>
    </row>
    <row r="1323" customFormat="false" ht="15" hidden="false" customHeight="false" outlineLevel="0" collapsed="false">
      <c r="A1323" s="72" t="n">
        <v>1319</v>
      </c>
      <c r="B1323" s="72" t="s">
        <v>3099</v>
      </c>
      <c r="C1323" s="72" t="s">
        <v>213</v>
      </c>
      <c r="D1323" s="72" t="s">
        <v>1970</v>
      </c>
      <c r="E1323" s="73" t="s">
        <v>617</v>
      </c>
      <c r="F1323" s="72" t="s">
        <v>834</v>
      </c>
      <c r="G1323" s="74" t="n">
        <v>30026</v>
      </c>
      <c r="H1323" s="75" t="s">
        <v>3100</v>
      </c>
      <c r="I1323" s="72" t="s">
        <v>166</v>
      </c>
    </row>
    <row r="1324" customFormat="false" ht="15" hidden="false" customHeight="false" outlineLevel="0" collapsed="false">
      <c r="A1324" s="72" t="n">
        <v>1320</v>
      </c>
      <c r="B1324" s="72" t="s">
        <v>3101</v>
      </c>
      <c r="C1324" s="72" t="s">
        <v>177</v>
      </c>
      <c r="D1324" s="73" t="s">
        <v>2605</v>
      </c>
      <c r="E1324" s="73" t="s">
        <v>866</v>
      </c>
      <c r="F1324" s="72" t="s">
        <v>867</v>
      </c>
      <c r="G1324" s="74" t="n">
        <v>2458</v>
      </c>
      <c r="H1324" s="75" t="s">
        <v>3102</v>
      </c>
      <c r="I1324" s="72" t="s">
        <v>166</v>
      </c>
    </row>
    <row r="1325" customFormat="false" ht="15" hidden="false" customHeight="false" outlineLevel="0" collapsed="false">
      <c r="A1325" s="72" t="n">
        <v>1321</v>
      </c>
      <c r="B1325" s="72" t="s">
        <v>3103</v>
      </c>
      <c r="C1325" s="72" t="s">
        <v>177</v>
      </c>
      <c r="D1325" s="73" t="s">
        <v>2605</v>
      </c>
      <c r="E1325" s="73" t="s">
        <v>617</v>
      </c>
      <c r="F1325" s="72" t="s">
        <v>2248</v>
      </c>
      <c r="G1325" s="74" t="n">
        <v>2640</v>
      </c>
      <c r="H1325" s="75" t="s">
        <v>3104</v>
      </c>
      <c r="I1325" s="72" t="s">
        <v>166</v>
      </c>
    </row>
    <row r="1326" customFormat="false" ht="15" hidden="false" customHeight="false" outlineLevel="0" collapsed="false">
      <c r="A1326" s="72" t="n">
        <v>1322</v>
      </c>
      <c r="B1326" s="72" t="s">
        <v>3105</v>
      </c>
      <c r="C1326" s="72" t="s">
        <v>163</v>
      </c>
      <c r="D1326" s="73" t="s">
        <v>2247</v>
      </c>
      <c r="E1326" s="73" t="s">
        <v>617</v>
      </c>
      <c r="F1326" s="72" t="s">
        <v>2248</v>
      </c>
      <c r="G1326" s="74" t="n">
        <v>2761</v>
      </c>
      <c r="H1326" s="75" t="s">
        <v>3106</v>
      </c>
      <c r="I1326" s="72" t="s">
        <v>166</v>
      </c>
    </row>
    <row r="1327" customFormat="false" ht="15" hidden="false" customHeight="false" outlineLevel="0" collapsed="false">
      <c r="A1327" s="72" t="n">
        <v>1323</v>
      </c>
      <c r="B1327" s="72" t="s">
        <v>3107</v>
      </c>
      <c r="C1327" s="72" t="s">
        <v>163</v>
      </c>
      <c r="D1327" s="73" t="s">
        <v>2247</v>
      </c>
      <c r="E1327" s="73" t="s">
        <v>617</v>
      </c>
      <c r="F1327" s="72" t="s">
        <v>2248</v>
      </c>
      <c r="G1327" s="74" t="n">
        <v>807</v>
      </c>
      <c r="H1327" s="75" t="s">
        <v>3108</v>
      </c>
      <c r="I1327" s="72" t="s">
        <v>166</v>
      </c>
    </row>
    <row r="1328" customFormat="false" ht="15" hidden="false" customHeight="false" outlineLevel="0" collapsed="false">
      <c r="A1328" s="72" t="n">
        <v>1324</v>
      </c>
      <c r="B1328" s="72" t="s">
        <v>3109</v>
      </c>
      <c r="C1328" s="72" t="s">
        <v>163</v>
      </c>
      <c r="D1328" s="73" t="s">
        <v>2247</v>
      </c>
      <c r="E1328" s="73" t="s">
        <v>617</v>
      </c>
      <c r="F1328" s="72" t="s">
        <v>2248</v>
      </c>
      <c r="G1328" s="74" t="n">
        <v>753</v>
      </c>
      <c r="H1328" s="75" t="s">
        <v>3110</v>
      </c>
      <c r="I1328" s="72" t="s">
        <v>166</v>
      </c>
    </row>
    <row r="1329" customFormat="false" ht="15" hidden="false" customHeight="false" outlineLevel="0" collapsed="false">
      <c r="A1329" s="72" t="n">
        <v>1325</v>
      </c>
      <c r="B1329" s="72" t="s">
        <v>3111</v>
      </c>
      <c r="C1329" s="72" t="s">
        <v>163</v>
      </c>
      <c r="D1329" s="73" t="s">
        <v>2247</v>
      </c>
      <c r="E1329" s="73" t="s">
        <v>617</v>
      </c>
      <c r="F1329" s="72" t="s">
        <v>834</v>
      </c>
      <c r="G1329" s="74" t="n">
        <v>4423</v>
      </c>
      <c r="H1329" s="75" t="s">
        <v>3112</v>
      </c>
      <c r="I1329" s="72" t="s">
        <v>166</v>
      </c>
    </row>
    <row r="1330" customFormat="false" ht="15" hidden="false" customHeight="false" outlineLevel="0" collapsed="false">
      <c r="A1330" s="72" t="n">
        <v>1326</v>
      </c>
      <c r="B1330" s="72" t="s">
        <v>3113</v>
      </c>
      <c r="C1330" s="72" t="s">
        <v>163</v>
      </c>
      <c r="D1330" s="73" t="s">
        <v>2247</v>
      </c>
      <c r="E1330" s="73" t="s">
        <v>866</v>
      </c>
      <c r="F1330" s="72" t="s">
        <v>867</v>
      </c>
      <c r="G1330" s="74" t="n">
        <v>14021</v>
      </c>
      <c r="H1330" s="75" t="s">
        <v>3114</v>
      </c>
      <c r="I1330" s="72" t="s">
        <v>166</v>
      </c>
    </row>
    <row r="1331" customFormat="false" ht="15" hidden="false" customHeight="false" outlineLevel="0" collapsed="false">
      <c r="A1331" s="72" t="n">
        <v>1327</v>
      </c>
      <c r="B1331" s="72" t="s">
        <v>3115</v>
      </c>
      <c r="C1331" s="72" t="s">
        <v>201</v>
      </c>
      <c r="D1331" s="72" t="s">
        <v>1865</v>
      </c>
      <c r="E1331" s="73" t="s">
        <v>866</v>
      </c>
      <c r="F1331" s="72" t="s">
        <v>867</v>
      </c>
      <c r="G1331" s="74" t="n">
        <v>13074</v>
      </c>
      <c r="H1331" s="75" t="s">
        <v>3116</v>
      </c>
      <c r="I1331" s="72" t="s">
        <v>166</v>
      </c>
    </row>
    <row r="1332" customFormat="false" ht="15" hidden="false" customHeight="false" outlineLevel="0" collapsed="false">
      <c r="A1332" s="72" t="n">
        <v>1328</v>
      </c>
      <c r="B1332" s="72" t="s">
        <v>3117</v>
      </c>
      <c r="C1332" s="72" t="s">
        <v>204</v>
      </c>
      <c r="D1332" s="72" t="s">
        <v>1871</v>
      </c>
      <c r="E1332" s="73" t="s">
        <v>866</v>
      </c>
      <c r="F1332" s="72" t="s">
        <v>867</v>
      </c>
      <c r="G1332" s="74" t="n">
        <v>6193</v>
      </c>
      <c r="H1332" s="75" t="s">
        <v>3118</v>
      </c>
      <c r="I1332" s="72" t="s">
        <v>166</v>
      </c>
    </row>
    <row r="1333" customFormat="false" ht="15" hidden="false" customHeight="false" outlineLevel="0" collapsed="false">
      <c r="A1333" s="72" t="n">
        <v>1329</v>
      </c>
      <c r="B1333" s="72" t="s">
        <v>3119</v>
      </c>
      <c r="C1333" s="72" t="s">
        <v>207</v>
      </c>
      <c r="D1333" s="72" t="s">
        <v>1878</v>
      </c>
      <c r="E1333" s="73" t="s">
        <v>866</v>
      </c>
      <c r="F1333" s="72" t="s">
        <v>867</v>
      </c>
      <c r="G1333" s="74" t="n">
        <v>32199</v>
      </c>
      <c r="H1333" s="75" t="s">
        <v>3120</v>
      </c>
      <c r="I1333" s="72" t="s">
        <v>166</v>
      </c>
    </row>
    <row r="1334" customFormat="false" ht="15" hidden="false" customHeight="false" outlineLevel="0" collapsed="false">
      <c r="A1334" s="72" t="n">
        <v>1330</v>
      </c>
      <c r="B1334" s="72" t="s">
        <v>3121</v>
      </c>
      <c r="C1334" s="72" t="s">
        <v>228</v>
      </c>
      <c r="D1334" s="72" t="s">
        <v>1802</v>
      </c>
      <c r="E1334" s="73" t="s">
        <v>617</v>
      </c>
      <c r="F1334" s="72" t="s">
        <v>834</v>
      </c>
      <c r="G1334" s="74" t="n">
        <v>4293</v>
      </c>
      <c r="H1334" s="75" t="s">
        <v>3122</v>
      </c>
      <c r="I1334" s="73" t="s">
        <v>148</v>
      </c>
    </row>
    <row r="1335" customFormat="false" ht="15" hidden="false" customHeight="false" outlineLevel="0" collapsed="false">
      <c r="A1335" s="66" t="n">
        <f aca="false">COUNTA(B5:B1334)</f>
        <v>1330</v>
      </c>
      <c r="B1335" s="58" t="s">
        <v>3123</v>
      </c>
      <c r="G1335" s="66" t="n">
        <f aca="false">SUM(G5:G1334)</f>
        <v>322433537</v>
      </c>
    </row>
  </sheetData>
  <autoFilter ref="A4:I1334"/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2026-09-30T11:44:17Z</dcterms:created>
  <dc:creator>openpyxl</dc:creator>
  <dc:description/>
  <dc:language>en-US</dc:language>
  <cp:lastModifiedBy/>
  <dcterms:modified xsi:type="dcterms:W3CDTF">2026-09-30T11:44:18Z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